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zGOgvNxy1E4MPtv5S+SuCYR4zgo1nh8tO9fUByNVY4="/>
    </ext>
  </extLst>
</workbook>
</file>

<file path=xl/sharedStrings.xml><?xml version="1.0" encoding="utf-8"?>
<sst xmlns="http://schemas.openxmlformats.org/spreadsheetml/2006/main" count="355" uniqueCount="49">
  <si>
    <t xml:space="preserve">Control: MilliQ </t>
  </si>
  <si>
    <t>1:1 NaCl:MgSO4</t>
  </si>
  <si>
    <t>.5 M/L</t>
  </si>
  <si>
    <t>.75 M/L</t>
  </si>
  <si>
    <t>1.0 M/L</t>
  </si>
  <si>
    <t>1.5 M/L</t>
  </si>
  <si>
    <t>20C</t>
  </si>
  <si>
    <t>10C</t>
  </si>
  <si>
    <t>5C</t>
  </si>
  <si>
    <t>2:1</t>
  </si>
  <si>
    <t>1.5:0.75 M/L</t>
  </si>
  <si>
    <t>1:2</t>
  </si>
  <si>
    <t>0.75:1.5 M/L</t>
  </si>
  <si>
    <t>KCl Only</t>
  </si>
  <si>
    <t>NaCl: MgSO4</t>
  </si>
  <si>
    <t>20 C</t>
  </si>
  <si>
    <t xml:space="preserve">5C </t>
  </si>
  <si>
    <t>Na2SO4 Only</t>
  </si>
  <si>
    <t>N/A</t>
  </si>
  <si>
    <t>1:1 Na2SO4:KCl</t>
  </si>
  <si>
    <t>1.50:0.75 M/L</t>
  </si>
  <si>
    <t>0.75:1.50 M/L</t>
  </si>
  <si>
    <t>Na2SO4: KCl</t>
  </si>
  <si>
    <t>Glycine Experiments</t>
  </si>
  <si>
    <t>100mM/L glycine</t>
  </si>
  <si>
    <t>Glyince + NaCl</t>
  </si>
  <si>
    <t>.5 M/L + G</t>
  </si>
  <si>
    <t>.75 M/L + G</t>
  </si>
  <si>
    <t>1.0 M/L + G</t>
  </si>
  <si>
    <t>1.5 M/L + G</t>
  </si>
  <si>
    <t>2.0 M/L + G</t>
  </si>
  <si>
    <t>2:1 NaCl:MgSO4</t>
  </si>
  <si>
    <t>1.50 : 0.75</t>
  </si>
  <si>
    <t>1:2 NaCl:MgSO4</t>
  </si>
  <si>
    <t>0.75 : 1.50</t>
  </si>
  <si>
    <t>2:1 KCl:Na2SO4</t>
  </si>
  <si>
    <t>1:2 KCl:Na2SO4</t>
  </si>
  <si>
    <t>Organics</t>
  </si>
  <si>
    <t>NaCl Blanks</t>
  </si>
  <si>
    <t>NaCl + Glycine</t>
  </si>
  <si>
    <t>Organics Only</t>
  </si>
  <si>
    <t>100mM/L</t>
  </si>
  <si>
    <t>Alanine</t>
  </si>
  <si>
    <t>Aspartic Acid</t>
  </si>
  <si>
    <t>Glutamic Acid</t>
  </si>
  <si>
    <t>Glycine</t>
  </si>
  <si>
    <t>Na2SO4</t>
  </si>
  <si>
    <t>Na Cl Blanks</t>
  </si>
  <si>
    <t>Only Organics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</si>
</sst>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4">
    <font>
      <sz val="10.0"/>
      <color rgb="FF000000"/>
      <name val="Arial"/>
      <scheme val="minor"/>
    </font>
    <font>
      <color theme="1"/>
      <name val="Arial"/>
    </font>
    <font>
      <color rgb="FFFF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vertical="bottom"/>
    </xf>
    <xf borderId="1" fillId="0" fontId="1" numFmtId="2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horizontal="right" vertical="bottom"/>
    </xf>
    <xf borderId="1" fillId="0" fontId="1" numFmtId="2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1" fillId="0" fontId="2" numFmtId="2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vertical="bottom"/>
    </xf>
    <xf borderId="2" fillId="0" fontId="1" numFmtId="2" xfId="0" applyAlignment="1" applyBorder="1" applyFont="1" applyNumberFormat="1">
      <alignment horizontal="left" shrinkToFit="0" vertical="bottom" wrapText="0"/>
    </xf>
    <xf borderId="3" fillId="0" fontId="1" numFmtId="2" xfId="0" applyAlignment="1" applyBorder="1" applyFont="1" applyNumberFormat="1">
      <alignment horizontal="left" shrinkToFit="0" vertical="bottom" wrapText="0"/>
    </xf>
    <xf borderId="4" fillId="0" fontId="1" numFmtId="2" xfId="0" applyAlignment="1" applyBorder="1" applyFont="1" applyNumberFormat="1">
      <alignment horizontal="left" shrinkToFit="0" vertical="bottom" wrapText="0"/>
    </xf>
    <xf borderId="1" fillId="0" fontId="1" numFmtId="2" xfId="0" applyAlignment="1" applyBorder="1" applyFont="1" applyNumberFormat="1">
      <alignment shrinkToFit="0" vertical="bottom" wrapText="0"/>
    </xf>
    <xf borderId="5" fillId="0" fontId="1" numFmtId="2" xfId="0" applyAlignment="1" applyBorder="1" applyFont="1" applyNumberFormat="1">
      <alignment shrinkToFit="0" vertical="bottom" wrapText="0"/>
    </xf>
    <xf borderId="6" fillId="0" fontId="1" numFmtId="2" xfId="0" applyAlignment="1" applyBorder="1" applyFont="1" applyNumberFormat="1">
      <alignment shrinkToFit="0" vertical="bottom" wrapText="0"/>
    </xf>
    <xf borderId="7" fillId="0" fontId="1" numFmtId="2" xfId="0" applyAlignment="1" applyBorder="1" applyFont="1" applyNumberFormat="1">
      <alignment shrinkToFit="0" vertical="bottom" wrapText="0"/>
    </xf>
    <xf borderId="8" fillId="0" fontId="1" numFmtId="2" xfId="0" applyAlignment="1" applyBorder="1" applyFont="1" applyNumberFormat="1">
      <alignment shrinkToFit="0" vertical="bottom" wrapText="0"/>
    </xf>
    <xf borderId="1" fillId="0" fontId="1" numFmtId="165" xfId="0" applyAlignment="1" applyBorder="1" applyFont="1" applyNumberFormat="1">
      <alignment horizontal="right" shrinkToFit="0" vertical="bottom" wrapText="0"/>
    </xf>
    <xf borderId="7" fillId="2" fontId="1" numFmtId="2" xfId="0" applyAlignment="1" applyBorder="1" applyFill="1" applyFont="1" applyNumberFormat="1">
      <alignment shrinkToFit="0" vertical="bottom" wrapText="0"/>
    </xf>
    <xf borderId="1" fillId="3" fontId="1" numFmtId="2" xfId="0" applyAlignment="1" applyBorder="1" applyFill="1" applyFont="1" applyNumberFormat="1">
      <alignment shrinkToFit="0" vertical="bottom" wrapText="0"/>
    </xf>
    <xf borderId="9" fillId="0" fontId="1" numFmtId="2" xfId="0" applyAlignment="1" applyBorder="1" applyFont="1" applyNumberFormat="1">
      <alignment shrinkToFit="0" vertical="bottom" wrapText="0"/>
    </xf>
    <xf borderId="10" fillId="0" fontId="1" numFmtId="2" xfId="0" applyAlignment="1" applyBorder="1" applyFont="1" applyNumberFormat="1">
      <alignment shrinkToFit="0" vertical="bottom" wrapText="0"/>
    </xf>
    <xf borderId="0" fillId="0" fontId="1" numFmtId="2" xfId="0" applyAlignment="1" applyFont="1" applyNumberFormat="1">
      <alignment horizontal="right" vertical="bottom"/>
    </xf>
    <xf borderId="11" fillId="0" fontId="1" numFmtId="2" xfId="0" applyAlignment="1" applyBorder="1" applyFont="1" applyNumberFormat="1">
      <alignment shrinkToFit="0" vertical="bottom" wrapText="0"/>
    </xf>
    <xf borderId="12" fillId="0" fontId="1" numFmtId="2" xfId="0" applyAlignment="1" applyBorder="1" applyFont="1" applyNumberFormat="1">
      <alignment shrinkToFit="0" vertical="bottom" wrapText="0"/>
    </xf>
    <xf borderId="13" fillId="0" fontId="1" numFmtId="2" xfId="0" applyAlignment="1" applyBorder="1" applyFont="1" applyNumberFormat="1">
      <alignment shrinkToFit="0" vertical="bottom" wrapText="0"/>
    </xf>
    <xf borderId="14" fillId="0" fontId="1" numFmtId="2" xfId="0" applyAlignment="1" applyBorder="1" applyFont="1" applyNumberFormat="1">
      <alignment shrinkToFit="0" vertical="bottom" wrapText="0"/>
    </xf>
    <xf borderId="1" fillId="3" fontId="3" numFmtId="2" xfId="0" applyAlignment="1" applyBorder="1" applyFont="1" applyNumberFormat="1">
      <alignment shrinkToFit="0" vertical="center" wrapText="0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  <tableStyle count="3" pivot="0" name="Sheet1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H33:L56" displayName="Table_1" name="Table_1" id="1">
  <tableColumns count="5">
    <tableColumn name="1:1 NaCl:MgSO4" id="1"/>
    <tableColumn name=".5 M/L" id="2"/>
    <tableColumn name=".75 M/L" id="3"/>
    <tableColumn name="1.0 M/L" id="4"/>
    <tableColumn name="1.5 M/L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O33:S56" displayName="Table_2" name="Table_2" id="2">
  <tableColumns count="5">
    <tableColumn name="1:1 NaCl:MgSO4" id="1"/>
    <tableColumn name=".5 M/L" id="2"/>
    <tableColumn name=".75 M/L" id="3"/>
    <tableColumn name="1.0 M/L" id="4"/>
    <tableColumn name="1.5 M/L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J60:N65" displayName="Table_3" name="Table_3" id="3">
  <tableColumns count="5">
    <tableColumn name="Organics" id="1"/>
    <tableColumn name=".5 M/L" id="2"/>
    <tableColumn name=".75 M/L" id="3"/>
    <tableColumn name="1.0 M/L" id="4"/>
    <tableColumn name="1.5 M/L" id="5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Q60:U65" displayName="Table_4" name="Table_4" id="4">
  <tableColumns count="5">
    <tableColumn name="Organics" id="1"/>
    <tableColumn name=".5 M/L" id="2"/>
    <tableColumn name=".75 M/L" id="3"/>
    <tableColumn name="1.0 M/L" id="4"/>
    <tableColumn name="1.5 M/L" id="5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13"/>
    <col customWidth="1" min="3" max="6" width="12.63"/>
    <col customWidth="1" min="8" max="8" width="18.13"/>
    <col customWidth="1" min="9" max="9" width="13.38"/>
    <col customWidth="1" min="10" max="10" width="14.88"/>
    <col customWidth="1" min="12" max="12" width="14.25"/>
    <col customWidth="1" min="15" max="15" width="18.13"/>
    <col customWidth="1" min="16" max="16" width="13.38"/>
    <col customWidth="1" min="17" max="17" width="14.88"/>
    <col customWidth="1" min="19" max="19" width="14.2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3">
        <f>AVERAGE(0.003141,0.003225, 0.003254)</f>
        <v>0.003206666667</v>
      </c>
      <c r="B3" s="2" t="s">
        <v>6</v>
      </c>
      <c r="C3" s="4">
        <f>AVERAGE(69.08,69.04,69.16)</f>
        <v>69.09333333</v>
      </c>
      <c r="D3" s="4">
        <f>AVERAGE(86, 86.16, 86.12)</f>
        <v>86.09333333</v>
      </c>
      <c r="E3" s="4">
        <f>AVERAGE(97.89, 97.66, 97.25)</f>
        <v>97.6</v>
      </c>
      <c r="F3" s="5">
        <f>AVERAGE(103.8, 104.3, 104.1)</f>
        <v>104.0666667</v>
      </c>
      <c r="G3" s="1"/>
      <c r="H3" s="1"/>
      <c r="I3" s="1"/>
      <c r="J3" s="1"/>
      <c r="K3" s="1"/>
      <c r="L3" s="6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2"/>
      <c r="B4" s="2" t="s">
        <v>7</v>
      </c>
      <c r="C4" s="4">
        <f>AVERAGE(52.92, 52.45, 52.13)</f>
        <v>52.5</v>
      </c>
      <c r="D4" s="4">
        <f>AVERAGE(65.02, 64.41, 64.7)</f>
        <v>64.71</v>
      </c>
      <c r="E4" s="4">
        <f>AVERAGE(72.63, 72.26, 71.81)</f>
        <v>72.23333333</v>
      </c>
      <c r="F4" s="4">
        <f>AVERAGE(75.38, 75.14, 76.69)</f>
        <v>75.73666667</v>
      </c>
      <c r="G4" s="1"/>
      <c r="H4" s="1"/>
      <c r="I4" s="1"/>
      <c r="J4" s="1"/>
      <c r="K4" s="1"/>
      <c r="L4" s="1"/>
      <c r="M4" s="1"/>
      <c r="N4" s="6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2"/>
      <c r="B5" s="2" t="s">
        <v>8</v>
      </c>
      <c r="C5" s="4">
        <f>AVERAGE(46.13, 46.64, 46.19)</f>
        <v>46.32</v>
      </c>
      <c r="D5" s="4">
        <f>AVERAGE(56.35, 56.55, 56.87)</f>
        <v>56.59</v>
      </c>
      <c r="E5" s="4">
        <f>AVERAGE(63.82, 65.13, 64.84)</f>
        <v>64.59666667</v>
      </c>
      <c r="F5" s="4">
        <f>AVERAGE( 68.44, 68.5, 69.02)</f>
        <v>68.65333333</v>
      </c>
      <c r="G5" s="1"/>
      <c r="H5" s="1"/>
      <c r="I5" s="1"/>
      <c r="J5" s="1"/>
      <c r="K5" s="1"/>
      <c r="L5" s="1"/>
      <c r="M5" s="1"/>
      <c r="N5" s="1"/>
      <c r="O5" s="6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2" t="s">
        <v>9</v>
      </c>
      <c r="B7" s="2" t="s">
        <v>10</v>
      </c>
      <c r="C7" s="1"/>
      <c r="D7" s="2" t="s">
        <v>11</v>
      </c>
      <c r="E7" s="2" t="s">
        <v>12</v>
      </c>
      <c r="F7" s="1"/>
      <c r="G7" s="2" t="s">
        <v>13</v>
      </c>
      <c r="H7" s="4">
        <v>0.5</v>
      </c>
      <c r="I7" s="4">
        <v>0.75</v>
      </c>
      <c r="J7" s="5">
        <v>1.0</v>
      </c>
      <c r="K7" s="5">
        <v>1.5</v>
      </c>
      <c r="L7" s="6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2" t="s">
        <v>14</v>
      </c>
      <c r="B8" s="2"/>
      <c r="C8" s="1"/>
      <c r="D8" s="2" t="s">
        <v>14</v>
      </c>
      <c r="E8" s="2"/>
      <c r="F8" s="1"/>
      <c r="G8" s="2" t="s">
        <v>6</v>
      </c>
      <c r="H8" s="4">
        <f>AVERAGE(55.74, 55.86, 56.05)</f>
        <v>55.88333333</v>
      </c>
      <c r="I8" s="4">
        <f>AVERAGE(77.91, 78.39, 78.52)</f>
        <v>78.27333333</v>
      </c>
      <c r="J8" s="4">
        <f>AVERAGE(103, 103.4, 103.6)</f>
        <v>103.3333333</v>
      </c>
      <c r="K8" s="4">
        <f>AVERAGE(150.8, 151, 151.4)</f>
        <v>151.0666667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2" t="s">
        <v>15</v>
      </c>
      <c r="B9" s="5">
        <f>AVERAGE(115.1, 115.5, 116.1)</f>
        <v>115.5666667</v>
      </c>
      <c r="C9" s="1"/>
      <c r="D9" s="2" t="s">
        <v>6</v>
      </c>
      <c r="E9" s="4">
        <f>AVERAGE(80.82, 81, 81.03)</f>
        <v>80.95</v>
      </c>
      <c r="F9" s="1"/>
      <c r="G9" s="2" t="s">
        <v>7</v>
      </c>
      <c r="H9" s="4">
        <f>AVERAGE(46.66, 46.92, 46.77, 46.77)</f>
        <v>46.78</v>
      </c>
      <c r="I9" s="4">
        <f>AVERAGE(64.34, 64.21, 64.31)</f>
        <v>64.28666667</v>
      </c>
      <c r="J9" s="4">
        <f t="shared" ref="J9:K9" si="1">AVERAGE(86.07, 85.94, 85.93)</f>
        <v>85.98</v>
      </c>
      <c r="K9" s="4">
        <f t="shared" si="1"/>
        <v>85.98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2" t="s">
        <v>7</v>
      </c>
      <c r="B10" s="4">
        <f>AVERAGE(91.14, 91.01, 90.8)</f>
        <v>90.98333333</v>
      </c>
      <c r="C10" s="1"/>
      <c r="D10" s="2" t="s">
        <v>7</v>
      </c>
      <c r="E10" s="4">
        <f>AVERAGE(62.65, 62.55, 62.25)</f>
        <v>62.48333333</v>
      </c>
      <c r="F10" s="1"/>
      <c r="G10" s="2" t="s">
        <v>8</v>
      </c>
      <c r="H10" s="4">
        <f>AVERAGE(41.64, 41.5, 41.4)</f>
        <v>41.51333333</v>
      </c>
      <c r="I10" s="4">
        <f>AVERAGE(58.66, 58.63, 58.38)</f>
        <v>58.55666667</v>
      </c>
      <c r="J10" s="4">
        <f>AVERAGE(77.73, 77.66, 77.61)</f>
        <v>77.66666667</v>
      </c>
      <c r="K10" s="4">
        <f>AVERAGE(118.4, 118, 117.6)</f>
        <v>118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2" t="s">
        <v>16</v>
      </c>
      <c r="B11" s="4">
        <f>AVERAGE(80.15, 80.28, 80.09)</f>
        <v>80.17333333</v>
      </c>
      <c r="C11" s="1"/>
      <c r="D11" s="2" t="s">
        <v>8</v>
      </c>
      <c r="E11" s="4">
        <f>average(54.48, 54.26, 54.81)</f>
        <v>54.51666667</v>
      </c>
      <c r="F11" s="1"/>
      <c r="G11" s="2" t="s">
        <v>17</v>
      </c>
      <c r="H11" s="4">
        <v>0.5</v>
      </c>
      <c r="I11" s="4">
        <v>0.75</v>
      </c>
      <c r="J11" s="5">
        <v>1.0</v>
      </c>
      <c r="K11" s="5">
        <v>1.5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1"/>
      <c r="C12" s="1"/>
      <c r="D12" s="1"/>
      <c r="E12" s="1"/>
      <c r="F12" s="1"/>
      <c r="G12" s="2" t="s">
        <v>6</v>
      </c>
      <c r="H12" s="4">
        <f>AVERAGE(57.8, 57.83, 57.85)</f>
        <v>57.82666667</v>
      </c>
      <c r="I12" s="4">
        <f>AVERAGE(75.66, 75.73, 75.84)</f>
        <v>75.74333333</v>
      </c>
      <c r="J12" s="4">
        <f>AVERAGE(91.86, 92.19, 92.24)</f>
        <v>92.09666667</v>
      </c>
      <c r="K12" s="4">
        <f>AVERAGE(123.1, 123.6, 123.2)</f>
        <v>123.3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1"/>
      <c r="C13" s="1"/>
      <c r="D13" s="1"/>
      <c r="E13" s="1"/>
      <c r="F13" s="1"/>
      <c r="G13" s="2" t="s">
        <v>7</v>
      </c>
      <c r="H13" s="4">
        <f>AVERAGE(40.57, 41.35,41.5)</f>
        <v>41.14</v>
      </c>
      <c r="I13" s="7">
        <f>AVERAGE(36.04, 43.42, 39.4, 40.22)</f>
        <v>39.77</v>
      </c>
      <c r="J13" s="2" t="s">
        <v>18</v>
      </c>
      <c r="K13" s="2" t="s">
        <v>18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2" t="s">
        <v>19</v>
      </c>
      <c r="B14" s="2" t="s">
        <v>2</v>
      </c>
      <c r="C14" s="2" t="s">
        <v>3</v>
      </c>
      <c r="D14" s="2" t="s">
        <v>4</v>
      </c>
      <c r="E14" s="1"/>
      <c r="F14" s="1"/>
      <c r="G14" s="2" t="s">
        <v>8</v>
      </c>
      <c r="H14" s="4">
        <f>AVERAGE(37.26, 37.54, 37.54, 37.53)</f>
        <v>37.4675</v>
      </c>
      <c r="I14" s="7">
        <f>AVERAGE(23.36, 20.38, 22.2)</f>
        <v>21.98</v>
      </c>
      <c r="J14" s="2" t="s">
        <v>18</v>
      </c>
      <c r="K14" s="2" t="s">
        <v>18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2" t="s">
        <v>6</v>
      </c>
      <c r="B15" s="4">
        <f>AVERAGE(97.92, 98.61, 98.77)</f>
        <v>98.43333333</v>
      </c>
      <c r="C15" s="5">
        <f>AVERAGE(133.5, 133.9, 134)</f>
        <v>133.8</v>
      </c>
      <c r="D15" s="5">
        <f>AVERAGE(157.2, 157.8, 158.3)</f>
        <v>157.7666667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2" t="s">
        <v>7</v>
      </c>
      <c r="B16" s="4">
        <f>AVERAGE(78.89, 78.94, 78.93)</f>
        <v>78.92</v>
      </c>
      <c r="C16" s="5">
        <f>AVERAGE(105.7, 105.7, 105.6)</f>
        <v>105.6666667</v>
      </c>
      <c r="D16" s="5">
        <f>AVERAGE(125.2, 125.2, 125.2)</f>
        <v>125.2</v>
      </c>
      <c r="E16" s="1"/>
      <c r="F16" s="1"/>
      <c r="G16" s="1"/>
      <c r="H16" s="1"/>
      <c r="I16" s="1"/>
      <c r="J16" s="6"/>
      <c r="K16" s="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2" t="s">
        <v>8</v>
      </c>
      <c r="B17" s="4">
        <f>AVERAGE(70.05, 70.85, 70.53)</f>
        <v>70.47666667</v>
      </c>
      <c r="C17" s="4">
        <f>AVERAGE(93.84, 93.51, 93.59)</f>
        <v>93.64666667</v>
      </c>
      <c r="D17" s="4">
        <f>AVERAGE(113.1, 112.8, 112.3)</f>
        <v>112.7333333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2" t="s">
        <v>9</v>
      </c>
      <c r="B19" s="2" t="s">
        <v>20</v>
      </c>
      <c r="C19" s="1"/>
      <c r="D19" s="2" t="s">
        <v>11</v>
      </c>
      <c r="E19" s="2" t="s">
        <v>21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2" t="s">
        <v>22</v>
      </c>
      <c r="B20" s="8"/>
      <c r="C20" s="1"/>
      <c r="D20" s="2" t="s">
        <v>22</v>
      </c>
      <c r="E20" s="8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2" t="s">
        <v>6</v>
      </c>
      <c r="B21" s="5">
        <f>AVERAGE(145.6, 146,146.5)</f>
        <v>146.0333333</v>
      </c>
      <c r="C21" s="1"/>
      <c r="D21" s="2" t="s">
        <v>6</v>
      </c>
      <c r="E21" s="5">
        <f>AVERAGE(176.5, 178.9, 179.5)</f>
        <v>178.3</v>
      </c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2" t="s">
        <v>7</v>
      </c>
      <c r="B22" s="5">
        <f>AVERAGE(113.9, 114.6, 114.4)</f>
        <v>114.3</v>
      </c>
      <c r="C22" s="1"/>
      <c r="D22" s="2" t="s">
        <v>7</v>
      </c>
      <c r="E22" s="5">
        <f>AVERAGE(143.3, 144.7, 144.9)</f>
        <v>144.3</v>
      </c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2" t="s">
        <v>8</v>
      </c>
      <c r="B23" s="5">
        <f>AVERAGE(101.4, 101, 100.8)</f>
        <v>101.0666667</v>
      </c>
      <c r="C23" s="1"/>
      <c r="D23" s="2" t="s">
        <v>8</v>
      </c>
      <c r="E23" s="5">
        <f>AVERAGE(127.3, 127.1, 126.9)</f>
        <v>127.1</v>
      </c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2" t="s">
        <v>23</v>
      </c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2"/>
      <c r="B26" s="2" t="s">
        <v>24</v>
      </c>
      <c r="C26" s="2" t="s">
        <v>25</v>
      </c>
      <c r="D26" s="2" t="s">
        <v>26</v>
      </c>
      <c r="E26" s="2" t="s">
        <v>27</v>
      </c>
      <c r="F26" s="2" t="s">
        <v>28</v>
      </c>
      <c r="G26" s="2" t="s">
        <v>29</v>
      </c>
      <c r="H26" s="2" t="s">
        <v>30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2" t="s">
        <v>6</v>
      </c>
      <c r="B27" s="4">
        <f>AVERAGE(0.3792, 0.3831, 0.3876)</f>
        <v>0.3833</v>
      </c>
      <c r="C27" s="2" t="s">
        <v>6</v>
      </c>
      <c r="D27" s="4">
        <f>AVERAGE(41.86, 41.89, 42.01)</f>
        <v>41.92</v>
      </c>
      <c r="E27" s="4">
        <f>AVERAGE(59.96, 60.08, 60.3)</f>
        <v>60.11333333</v>
      </c>
      <c r="F27" s="4">
        <f>AVERAGE(76.08, 76.65, 76.8)</f>
        <v>76.51</v>
      </c>
      <c r="G27" s="5">
        <f>AVERAGE(111.8, 112.4, 112.8)</f>
        <v>112.3333333</v>
      </c>
      <c r="H27" s="5">
        <f>AVERAGE(135.9, 136.2, 136.6)</f>
        <v>136.2333333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2" t="s">
        <v>7</v>
      </c>
      <c r="B28" s="4">
        <f>AVERAGE(0.3047, 0.3055, 0.3063)</f>
        <v>0.3055</v>
      </c>
      <c r="C28" s="2" t="s">
        <v>7</v>
      </c>
      <c r="D28" s="4">
        <f>AVERAGE(34.18, 34.14, 34.13)</f>
        <v>34.15</v>
      </c>
      <c r="E28" s="4">
        <f>AVERAGE(48.05, 48.17,48.18)</f>
        <v>48.13333333</v>
      </c>
      <c r="F28" s="4">
        <f>AVERAGE(60.87, 61.38, 61.3 )</f>
        <v>61.18333333</v>
      </c>
      <c r="G28" s="4">
        <f>AVERAGE(88.51, 89.17, 89.15)</f>
        <v>88.94333333</v>
      </c>
      <c r="H28" s="5">
        <f>AVERAGE(109.9, 109.7, 109.5)</f>
        <v>109.7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2" t="s">
        <v>8</v>
      </c>
      <c r="B29" s="4">
        <f>AVERAGE(0.3047, 0.3055, 0.3068)</f>
        <v>0.3056666667</v>
      </c>
      <c r="C29" s="2" t="s">
        <v>8</v>
      </c>
      <c r="D29" s="4">
        <f>AVERAGE(30.43,30.43,30.31)</f>
        <v>30.39</v>
      </c>
      <c r="E29" s="4">
        <f>AVERAGE(44.18, 43.88, 43.74)</f>
        <v>43.93333333</v>
      </c>
      <c r="F29" s="4">
        <f>AVERAGE(55.57, 55.73,55.52)</f>
        <v>55.60666667</v>
      </c>
      <c r="G29" s="4">
        <f>AVERAGE(81.07, 81, 80.87)</f>
        <v>80.98</v>
      </c>
      <c r="H29" s="4">
        <f>AVERAGE(98.53, 98.86, 98.59 )</f>
        <v>98.66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3">
        <f>1.958/1000</f>
        <v>0.001958</v>
      </c>
      <c r="B33" s="2" t="s">
        <v>6</v>
      </c>
      <c r="C33" s="4">
        <v>65.06</v>
      </c>
      <c r="D33" s="4">
        <v>81.01</v>
      </c>
      <c r="E33" s="4">
        <v>92.29</v>
      </c>
      <c r="F33" s="4">
        <v>98.67</v>
      </c>
      <c r="G33" s="1"/>
      <c r="H33" s="9" t="s">
        <v>1</v>
      </c>
      <c r="I33" s="10" t="s">
        <v>2</v>
      </c>
      <c r="J33" s="10" t="s">
        <v>3</v>
      </c>
      <c r="K33" s="10" t="s">
        <v>4</v>
      </c>
      <c r="L33" s="11" t="s">
        <v>5</v>
      </c>
      <c r="M33" s="1"/>
      <c r="N33" s="1"/>
      <c r="O33" s="9" t="s">
        <v>1</v>
      </c>
      <c r="P33" s="10" t="s">
        <v>2</v>
      </c>
      <c r="Q33" s="10" t="s">
        <v>3</v>
      </c>
      <c r="R33" s="10" t="s">
        <v>4</v>
      </c>
      <c r="S33" s="11" t="s">
        <v>5</v>
      </c>
      <c r="T33" s="1"/>
      <c r="U33" s="1"/>
      <c r="V33" s="1"/>
      <c r="W33" s="1"/>
      <c r="X33" s="1"/>
      <c r="Y33" s="1"/>
      <c r="Z33" s="1"/>
      <c r="AA33" s="1"/>
    </row>
    <row r="34" ht="15.75" customHeight="1">
      <c r="A34" s="2"/>
      <c r="B34" s="2" t="s">
        <v>6</v>
      </c>
      <c r="C34" s="4">
        <v>65.24</v>
      </c>
      <c r="D34" s="4">
        <v>80.71</v>
      </c>
      <c r="E34" s="4">
        <v>92.31</v>
      </c>
      <c r="F34" s="4">
        <v>98.32</v>
      </c>
      <c r="G34" s="1"/>
      <c r="H34" s="12" t="s">
        <v>6</v>
      </c>
      <c r="I34" s="13">
        <f>STDEV($C33:$C38)</f>
        <v>2.547050582</v>
      </c>
      <c r="J34" s="13">
        <f>STDEV($D33:$D38)</f>
        <v>0.328856605</v>
      </c>
      <c r="K34" s="13">
        <f>STDEV($E33:$E38)</f>
        <v>0.8285328398</v>
      </c>
      <c r="L34" s="14">
        <f>STDEV($F33:$F38)</f>
        <v>1.023518441</v>
      </c>
      <c r="M34" s="1"/>
      <c r="N34" s="1"/>
      <c r="O34" s="12" t="s">
        <v>6</v>
      </c>
      <c r="P34" s="13">
        <f>AVERAGE($C33:$C38)</f>
        <v>62.88333333</v>
      </c>
      <c r="Q34" s="13">
        <f>AVERAGE($D33:$D38)</f>
        <v>80.69666667</v>
      </c>
      <c r="R34" s="13">
        <f>AVERAGE($E33:$E38)</f>
        <v>91.54666667</v>
      </c>
      <c r="S34" s="14">
        <f>AVERAGE($F33:$F38)</f>
        <v>97.555</v>
      </c>
      <c r="T34" s="1"/>
      <c r="U34" s="1"/>
      <c r="V34" s="1"/>
      <c r="W34" s="1"/>
      <c r="X34" s="1"/>
      <c r="Y34" s="1"/>
      <c r="Z34" s="1"/>
      <c r="AA34" s="1"/>
    </row>
    <row r="35" ht="15.75" customHeight="1">
      <c r="A35" s="2"/>
      <c r="B35" s="2" t="s">
        <v>6</v>
      </c>
      <c r="C35" s="4">
        <v>65.32</v>
      </c>
      <c r="D35" s="4">
        <v>81.15</v>
      </c>
      <c r="E35" s="4">
        <v>92.27</v>
      </c>
      <c r="F35" s="4">
        <v>98.44</v>
      </c>
      <c r="G35" s="1"/>
      <c r="H35" s="12" t="s">
        <v>7</v>
      </c>
      <c r="I35" s="15">
        <f>STDEV($C39:$C44)</f>
        <v>1.491747298</v>
      </c>
      <c r="J35" s="15">
        <f>STDEV($D39:$D44)</f>
        <v>0.4668368737</v>
      </c>
      <c r="K35" s="15">
        <f>STDEV($E39:$E44)</f>
        <v>0.7592628004</v>
      </c>
      <c r="L35" s="16">
        <f>STDEV($F39:$F44)</f>
        <v>0.2718394134</v>
      </c>
      <c r="M35" s="1"/>
      <c r="N35" s="1"/>
      <c r="O35" s="12" t="s">
        <v>7</v>
      </c>
      <c r="P35" s="15">
        <f>AVERAGE($C39:$C44)</f>
        <v>50.505</v>
      </c>
      <c r="Q35" s="15">
        <f>AVERAGE($D39:$D44)</f>
        <v>65.13833333</v>
      </c>
      <c r="R35" s="15">
        <f>AVERAGE($E39:$E44)</f>
        <v>73.2</v>
      </c>
      <c r="S35" s="16">
        <f>AVERAGE($F39:$F44)</f>
        <v>76.07833333</v>
      </c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2" t="s">
        <v>6</v>
      </c>
      <c r="C36" s="2">
        <v>60.57</v>
      </c>
      <c r="D36" s="2">
        <v>80.48</v>
      </c>
      <c r="E36" s="2">
        <v>90.55</v>
      </c>
      <c r="F36" s="2">
        <v>96.54</v>
      </c>
      <c r="G36" s="1"/>
      <c r="H36" s="12" t="s">
        <v>8</v>
      </c>
      <c r="I36" s="13">
        <f>STDEV($C45:$F50)</f>
        <v>8.367536291</v>
      </c>
      <c r="J36" s="13">
        <f>STDEV($D45:$G50)</f>
        <v>3.910073341</v>
      </c>
      <c r="K36" s="13">
        <f>STDEV($E45:$H50)</f>
        <v>1.052740651</v>
      </c>
      <c r="L36" s="14">
        <f>STDEV($F45:$F50)</f>
        <v>0.6824197144</v>
      </c>
      <c r="M36" s="1"/>
      <c r="N36" s="1"/>
      <c r="O36" s="12" t="s">
        <v>8</v>
      </c>
      <c r="P36" s="13">
        <f>AVERAGE($C45:$F50)</f>
        <v>57.08875</v>
      </c>
      <c r="Q36" s="13">
        <f>AVERAGE($D45:$G50)</f>
        <v>61.40166667</v>
      </c>
      <c r="R36" s="13">
        <f>AVERAGE($E45:$H50)</f>
        <v>64.02083333</v>
      </c>
      <c r="S36" s="14">
        <f>AVERAGE($F45:$F50)</f>
        <v>64.92166667</v>
      </c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2" t="s">
        <v>6</v>
      </c>
      <c r="C37" s="2">
        <v>60.47</v>
      </c>
      <c r="D37" s="2">
        <v>80.29</v>
      </c>
      <c r="E37" s="2">
        <v>90.83</v>
      </c>
      <c r="F37" s="2">
        <v>96.5</v>
      </c>
      <c r="G37" s="1"/>
      <c r="H37" s="12" t="s">
        <v>19</v>
      </c>
      <c r="I37" s="12" t="s">
        <v>2</v>
      </c>
      <c r="J37" s="12" t="s">
        <v>3</v>
      </c>
      <c r="K37" s="12" t="s">
        <v>4</v>
      </c>
      <c r="L37" s="12"/>
      <c r="M37" s="1"/>
      <c r="N37" s="1"/>
      <c r="O37" s="12" t="s">
        <v>19</v>
      </c>
      <c r="P37" s="12">
        <v>0.5</v>
      </c>
      <c r="Q37" s="12">
        <v>0.75</v>
      </c>
      <c r="R37" s="12">
        <v>1.0</v>
      </c>
      <c r="S37" s="16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2" t="s">
        <v>6</v>
      </c>
      <c r="C38" s="2">
        <v>60.64</v>
      </c>
      <c r="D38" s="2">
        <v>80.54</v>
      </c>
      <c r="E38" s="2">
        <v>91.03</v>
      </c>
      <c r="F38" s="2">
        <v>96.86</v>
      </c>
      <c r="G38" s="1"/>
      <c r="H38" s="12" t="s">
        <v>6</v>
      </c>
      <c r="I38" s="13">
        <f>STDEV($C52:$C57)</f>
        <v>1.754917852</v>
      </c>
      <c r="J38" s="13">
        <f>STDEV($D52:$D57)</f>
        <v>1.367357549</v>
      </c>
      <c r="K38" s="13">
        <f>STDEV($E52:$E57)</f>
        <v>0.3141125064</v>
      </c>
      <c r="L38" s="14"/>
      <c r="M38" s="1"/>
      <c r="N38" s="1"/>
      <c r="O38" s="12" t="s">
        <v>6</v>
      </c>
      <c r="P38" s="13">
        <f>AVERAGE($C52:$C57)</f>
        <v>96.85166667</v>
      </c>
      <c r="Q38" s="13">
        <f>AVERAGE($D52:$D57)</f>
        <v>125.7166667</v>
      </c>
      <c r="R38" s="13">
        <f>AVERAGE($E52:$E57)</f>
        <v>151.5666667</v>
      </c>
      <c r="S38" s="14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2" t="s">
        <v>7</v>
      </c>
      <c r="C39" s="2">
        <v>49.14</v>
      </c>
      <c r="D39" s="2">
        <v>64.76</v>
      </c>
      <c r="E39" s="2">
        <v>72.53</v>
      </c>
      <c r="F39" s="2">
        <v>76.33</v>
      </c>
      <c r="G39" s="1"/>
      <c r="H39" s="12" t="s">
        <v>7</v>
      </c>
      <c r="I39" s="15">
        <f>STDEV($C58:$C63)</f>
        <v>0.1223110788</v>
      </c>
      <c r="J39" s="15">
        <f>STDEV($D58:$D63)</f>
        <v>3.196717066</v>
      </c>
      <c r="K39" s="15">
        <f>STDEV($E58:$E63)</f>
        <v>1.481103192</v>
      </c>
      <c r="L39" s="16"/>
      <c r="M39" s="1"/>
      <c r="N39" s="1"/>
      <c r="O39" s="12" t="s">
        <v>7</v>
      </c>
      <c r="P39" s="15">
        <f>AVERAGE($C58:$C63)</f>
        <v>76.94</v>
      </c>
      <c r="Q39" s="15">
        <f>AVERAGE($D58:$D63)</f>
        <v>103.05</v>
      </c>
      <c r="R39" s="15">
        <f>AVERAGE($E58:$E63)</f>
        <v>123.8833333</v>
      </c>
      <c r="S39" s="16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2" t="s">
        <v>7</v>
      </c>
      <c r="C40" s="2">
        <v>49.16</v>
      </c>
      <c r="D40" s="2">
        <v>64.74</v>
      </c>
      <c r="E40" s="2">
        <v>72.52</v>
      </c>
      <c r="F40" s="2">
        <v>76.27</v>
      </c>
      <c r="G40" s="1"/>
      <c r="H40" s="12" t="s">
        <v>8</v>
      </c>
      <c r="I40" s="13">
        <f>STDEV($C64:$C69)</f>
        <v>1.371530775</v>
      </c>
      <c r="J40" s="13">
        <f>STDEV($D64:$D69)</f>
        <v>1.422711027</v>
      </c>
      <c r="K40" s="13">
        <f>STDEV($E64:$E69)</f>
        <v>0.7366591251</v>
      </c>
      <c r="L40" s="14"/>
      <c r="M40" s="1"/>
      <c r="N40" s="1"/>
      <c r="O40" s="12" t="s">
        <v>8</v>
      </c>
      <c r="P40" s="13">
        <f> AVERAGE($C64:$C69)</f>
        <v>68.74833333</v>
      </c>
      <c r="Q40" s="13">
        <f>AVERAGE($D64:$D69)</f>
        <v>89.99333333</v>
      </c>
      <c r="R40" s="13">
        <f>AVERAGE($E64:$E69)</f>
        <v>107.6666667</v>
      </c>
      <c r="S40" s="14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2" t="s">
        <v>7</v>
      </c>
      <c r="C41" s="2">
        <v>49.13</v>
      </c>
      <c r="D41" s="2">
        <v>64.66</v>
      </c>
      <c r="E41" s="2">
        <v>72.5</v>
      </c>
      <c r="F41" s="2">
        <v>76.18</v>
      </c>
      <c r="G41" s="1"/>
      <c r="H41" s="12" t="s">
        <v>31</v>
      </c>
      <c r="I41" s="12" t="s">
        <v>32</v>
      </c>
      <c r="J41" s="12" t="s">
        <v>33</v>
      </c>
      <c r="K41" s="17" t="s">
        <v>34</v>
      </c>
      <c r="L41" s="16"/>
      <c r="M41" s="1"/>
      <c r="N41" s="1"/>
      <c r="O41" s="12" t="s">
        <v>31</v>
      </c>
      <c r="P41" s="12" t="s">
        <v>32</v>
      </c>
      <c r="Q41" s="12" t="s">
        <v>33</v>
      </c>
      <c r="R41" s="17" t="s">
        <v>34</v>
      </c>
      <c r="S41" s="16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2" t="s">
        <v>7</v>
      </c>
      <c r="C42" s="2">
        <v>51.89</v>
      </c>
      <c r="D42" s="2">
        <v>65.68</v>
      </c>
      <c r="E42" s="2">
        <v>74.09</v>
      </c>
      <c r="F42" s="2">
        <v>76.2</v>
      </c>
      <c r="G42" s="1"/>
      <c r="H42" s="12" t="s">
        <v>6</v>
      </c>
      <c r="I42" s="13">
        <f>STDEV($C71:$C76)</f>
        <v>2.538043866</v>
      </c>
      <c r="J42" s="13"/>
      <c r="K42" s="13">
        <f>STDEV($E71:$E76)</f>
        <v>0.1908664455</v>
      </c>
      <c r="L42" s="14"/>
      <c r="M42" s="1"/>
      <c r="N42" s="1"/>
      <c r="O42" s="12" t="s">
        <v>6</v>
      </c>
      <c r="P42" s="13">
        <f>AVERAGE($C71:$C76)</f>
        <v>113.8833333</v>
      </c>
      <c r="Q42" s="18"/>
      <c r="R42" s="13">
        <f>AVERAGE($E71:$E76)</f>
        <v>77.355</v>
      </c>
      <c r="S42" s="14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2" t="s">
        <v>7</v>
      </c>
      <c r="C43" s="2">
        <v>51.87</v>
      </c>
      <c r="D43" s="2">
        <v>65.57</v>
      </c>
      <c r="E43" s="2">
        <v>73.87</v>
      </c>
      <c r="F43" s="2">
        <v>75.85</v>
      </c>
      <c r="G43" s="1"/>
      <c r="H43" s="12" t="s">
        <v>7</v>
      </c>
      <c r="I43" s="15">
        <f>STDEV(C96:$C102)</f>
        <v>5.196106601</v>
      </c>
      <c r="J43" s="15"/>
      <c r="K43" s="15">
        <f>STDEV($E96:$E102)</f>
        <v>5.379871215</v>
      </c>
      <c r="L43" s="16"/>
      <c r="M43" s="1"/>
      <c r="N43" s="1"/>
      <c r="O43" s="12" t="s">
        <v>7</v>
      </c>
      <c r="P43" s="15">
        <f>AVERAGE($C96:J102)</f>
        <v>127.4578571</v>
      </c>
      <c r="Q43" s="18"/>
      <c r="R43" s="15">
        <f>AVERAGE($E96:$E102)</f>
        <v>111.1585714</v>
      </c>
      <c r="S43" s="16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2" t="s">
        <v>7</v>
      </c>
      <c r="C44" s="2">
        <v>51.84</v>
      </c>
      <c r="D44" s="2">
        <v>65.42</v>
      </c>
      <c r="E44" s="2">
        <v>73.69</v>
      </c>
      <c r="F44" s="2">
        <v>75.64</v>
      </c>
      <c r="G44" s="1"/>
      <c r="H44" s="12" t="s">
        <v>8</v>
      </c>
      <c r="I44" s="13"/>
      <c r="J44" s="13"/>
      <c r="K44" s="13"/>
      <c r="L44" s="14"/>
      <c r="M44" s="1"/>
      <c r="N44" s="1"/>
      <c r="O44" s="12" t="s">
        <v>8</v>
      </c>
      <c r="P44" s="13"/>
      <c r="Q44" s="18"/>
      <c r="R44" s="13"/>
      <c r="S44" s="14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2" t="s">
        <v>8</v>
      </c>
      <c r="C45" s="2">
        <v>45.46</v>
      </c>
      <c r="D45" s="2">
        <v>55.76</v>
      </c>
      <c r="E45" s="2">
        <v>63.26</v>
      </c>
      <c r="F45" s="2">
        <v>64.58</v>
      </c>
      <c r="G45" s="1"/>
      <c r="H45" s="12" t="s">
        <v>35</v>
      </c>
      <c r="I45" s="12" t="s">
        <v>32</v>
      </c>
      <c r="J45" s="12" t="s">
        <v>36</v>
      </c>
      <c r="K45" s="17" t="s">
        <v>34</v>
      </c>
      <c r="L45" s="16"/>
      <c r="M45" s="1"/>
      <c r="N45" s="1"/>
      <c r="O45" s="12" t="s">
        <v>35</v>
      </c>
      <c r="P45" s="12" t="s">
        <v>32</v>
      </c>
      <c r="Q45" s="19" t="s">
        <v>36</v>
      </c>
      <c r="R45" s="17" t="s">
        <v>34</v>
      </c>
      <c r="S45" s="16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2" t="s">
        <v>8</v>
      </c>
      <c r="C46" s="2">
        <v>45.54</v>
      </c>
      <c r="D46" s="2">
        <v>55.82</v>
      </c>
      <c r="E46" s="2">
        <v>63.33</v>
      </c>
      <c r="F46" s="2">
        <v>64.23</v>
      </c>
      <c r="G46" s="1"/>
      <c r="H46" s="12" t="s">
        <v>6</v>
      </c>
      <c r="I46" s="13">
        <f>STDEV($C90:$C95)</f>
        <v>2.211560535</v>
      </c>
      <c r="J46" s="13"/>
      <c r="K46" s="13">
        <f>STDEV($E90:$E95)</f>
        <v>0.2786873995</v>
      </c>
      <c r="L46" s="14"/>
      <c r="M46" s="1"/>
      <c r="N46" s="1"/>
      <c r="O46" s="12" t="s">
        <v>6</v>
      </c>
      <c r="P46" s="13">
        <f>AVERAGE($C90:$C95)</f>
        <v>179.75</v>
      </c>
      <c r="Q46" s="18"/>
      <c r="R46" s="13">
        <f>AVERAGE($E90:$E95)</f>
        <v>142.4833333</v>
      </c>
      <c r="S46" s="14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2" t="s">
        <v>8</v>
      </c>
      <c r="C47" s="2">
        <v>45.54</v>
      </c>
      <c r="D47" s="2">
        <v>55.85</v>
      </c>
      <c r="E47" s="2">
        <v>63.18</v>
      </c>
      <c r="F47" s="2">
        <v>64.14</v>
      </c>
      <c r="G47" s="1"/>
      <c r="H47" s="12" t="s">
        <v>7</v>
      </c>
      <c r="I47" s="15">
        <f>STDEV($C96:$C101)</f>
        <v>1.682458519</v>
      </c>
      <c r="J47" s="15"/>
      <c r="K47" s="15">
        <f>STDEV($E96:$E101)</f>
        <v>1.191217864</v>
      </c>
      <c r="L47" s="16"/>
      <c r="M47" s="1"/>
      <c r="N47" s="1"/>
      <c r="O47" s="12" t="s">
        <v>7</v>
      </c>
      <c r="P47" s="15">
        <f>AVERAGE($C96:$C101)</f>
        <v>145.6333333</v>
      </c>
      <c r="Q47" s="18"/>
      <c r="R47" s="15">
        <f>AVERAGE($E96:$E101)</f>
        <v>113.15</v>
      </c>
      <c r="S47" s="16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2" t="s">
        <v>8</v>
      </c>
      <c r="C48" s="2">
        <v>42.85</v>
      </c>
      <c r="D48" s="2">
        <v>56.53</v>
      </c>
      <c r="E48" s="2">
        <v>62.97</v>
      </c>
      <c r="F48" s="2">
        <v>65.4</v>
      </c>
      <c r="G48" s="1"/>
      <c r="H48" s="12" t="s">
        <v>8</v>
      </c>
      <c r="I48" s="13">
        <f>STDEV($C102:$C107)</f>
        <v>3.242067242</v>
      </c>
      <c r="J48" s="13"/>
      <c r="K48" s="13">
        <f>STDEV($E102:$E107)</f>
        <v>0.6033710854</v>
      </c>
      <c r="L48" s="14"/>
      <c r="M48" s="1"/>
      <c r="N48" s="1"/>
      <c r="O48" s="12" t="s">
        <v>8</v>
      </c>
      <c r="P48" s="13">
        <f>AVERAGE($C102:$C107)</f>
        <v>129.15</v>
      </c>
      <c r="Q48" s="18"/>
      <c r="R48" s="13">
        <f>AVERAGE($E102:$E107)</f>
        <v>98.54166667</v>
      </c>
      <c r="S48" s="14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2" t="s">
        <v>8</v>
      </c>
      <c r="C49" s="2">
        <v>42.77</v>
      </c>
      <c r="D49" s="2">
        <v>56.54</v>
      </c>
      <c r="E49" s="2">
        <v>63.01</v>
      </c>
      <c r="F49" s="2">
        <v>65.58</v>
      </c>
      <c r="G49" s="1"/>
      <c r="H49" s="12" t="s">
        <v>13</v>
      </c>
      <c r="I49" s="12" t="s">
        <v>2</v>
      </c>
      <c r="J49" s="12" t="s">
        <v>3</v>
      </c>
      <c r="K49" s="12" t="s">
        <v>4</v>
      </c>
      <c r="L49" s="12" t="s">
        <v>5</v>
      </c>
      <c r="M49" s="1"/>
      <c r="N49" s="1"/>
      <c r="O49" s="12" t="s">
        <v>13</v>
      </c>
      <c r="P49" s="12" t="s">
        <v>2</v>
      </c>
      <c r="Q49" s="12" t="s">
        <v>3</v>
      </c>
      <c r="R49" s="12" t="s">
        <v>4</v>
      </c>
      <c r="S49" s="12" t="s">
        <v>5</v>
      </c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2" t="s">
        <v>8</v>
      </c>
      <c r="C50" s="2">
        <v>42.74</v>
      </c>
      <c r="D50" s="2">
        <v>56.48</v>
      </c>
      <c r="E50" s="2">
        <v>62.97</v>
      </c>
      <c r="F50" s="2">
        <v>65.6</v>
      </c>
      <c r="G50" s="1"/>
      <c r="H50" s="12" t="s">
        <v>6</v>
      </c>
      <c r="I50" s="13">
        <f>STDEV($C109:$C114)</f>
        <v>1.631887455</v>
      </c>
      <c r="J50" s="13">
        <f>STDEV($D109:$D114)</f>
        <v>0.9637721031</v>
      </c>
      <c r="K50" s="13">
        <f>STDEV($E109:$E114)</f>
        <v>0.2065591118</v>
      </c>
      <c r="L50" s="14">
        <f>STDEV($F109:$F114)</f>
        <v>1.48144074</v>
      </c>
      <c r="M50" s="1"/>
      <c r="N50" s="1"/>
      <c r="O50" s="12" t="s">
        <v>6</v>
      </c>
      <c r="P50" s="13">
        <f>AVERAGE($C109:$C114)</f>
        <v>53.79166667</v>
      </c>
      <c r="Q50" s="13">
        <f>AVERAGE($D109:$D114)</f>
        <v>80.88166667</v>
      </c>
      <c r="R50" s="13">
        <f>AVERAGE($E109:$E114)</f>
        <v>106.1333333</v>
      </c>
      <c r="S50" s="14">
        <f>AVERAGE($F109:$F114)</f>
        <v>151.7333333</v>
      </c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2" t="s">
        <v>19</v>
      </c>
      <c r="C51" s="2">
        <v>0.5</v>
      </c>
      <c r="D51" s="2">
        <v>0.75</v>
      </c>
      <c r="E51" s="2">
        <v>1.0</v>
      </c>
      <c r="F51" s="1">
        <v>1.5</v>
      </c>
      <c r="G51" s="1"/>
      <c r="H51" s="12" t="s">
        <v>7</v>
      </c>
      <c r="I51" s="15">
        <f>STDEV($C115:$C120)</f>
        <v>2.226034591</v>
      </c>
      <c r="J51" s="15">
        <f>STDEV($D115:$D120)</f>
        <v>2.200069696</v>
      </c>
      <c r="K51" s="15">
        <f>STDEV($E115:$E120)</f>
        <v>1.913830365</v>
      </c>
      <c r="L51" s="16">
        <f>STDEV($F115:$F120)</f>
        <v>0.07527726527</v>
      </c>
      <c r="M51" s="1"/>
      <c r="N51" s="1"/>
      <c r="O51" s="12" t="s">
        <v>7</v>
      </c>
      <c r="P51" s="15">
        <f>AVERAGE($C115:$C120)</f>
        <v>44.725</v>
      </c>
      <c r="Q51" s="15">
        <f>AVERAGE($D115:$D120)</f>
        <v>67.62333333</v>
      </c>
      <c r="R51" s="15">
        <f>AVERAGE($E115:$E120)</f>
        <v>88.07333333</v>
      </c>
      <c r="S51" s="16">
        <f>AVERAGE($F115:$F120)</f>
        <v>127.4166667</v>
      </c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2" t="s">
        <v>6</v>
      </c>
      <c r="C52" s="4">
        <v>95.15</v>
      </c>
      <c r="D52" s="5">
        <v>124.0</v>
      </c>
      <c r="E52" s="5">
        <v>151.4</v>
      </c>
      <c r="F52" s="1"/>
      <c r="G52" s="1"/>
      <c r="H52" s="12" t="s">
        <v>8</v>
      </c>
      <c r="I52" s="13">
        <f>STDEV($C121:$C126)</f>
        <v>1.218464881</v>
      </c>
      <c r="J52" s="13">
        <f>STDEV($D121:$D126)</f>
        <v>1.274237027</v>
      </c>
      <c r="K52" s="13">
        <f>STDEV($E121:$E126)</f>
        <v>0.6492662525</v>
      </c>
      <c r="L52" s="14">
        <f>STDEV($F121:$F126)</f>
        <v>0.5683308895</v>
      </c>
      <c r="M52" s="1"/>
      <c r="N52" s="1"/>
      <c r="O52" s="20" t="s">
        <v>8</v>
      </c>
      <c r="P52" s="13">
        <f>AVERAGE($C121:$C126)</f>
        <v>39.07166667</v>
      </c>
      <c r="Q52" s="13">
        <f>AVERAGE($D121:$D126)</f>
        <v>59.43</v>
      </c>
      <c r="R52" s="13">
        <f>AVERAGE($E121:$E126)</f>
        <v>78.83666667</v>
      </c>
      <c r="S52" s="14">
        <f>AVERAGE($F121:$F126)</f>
        <v>113.45</v>
      </c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2" t="s">
        <v>6</v>
      </c>
      <c r="C53" s="4">
        <v>95.29</v>
      </c>
      <c r="D53" s="5">
        <v>124.7</v>
      </c>
      <c r="E53" s="5">
        <v>151.3</v>
      </c>
      <c r="F53" s="1"/>
      <c r="G53" s="1"/>
      <c r="H53" s="21" t="s">
        <v>17</v>
      </c>
      <c r="I53" s="12" t="s">
        <v>2</v>
      </c>
      <c r="J53" s="12" t="s">
        <v>3</v>
      </c>
      <c r="K53" s="15"/>
      <c r="L53" s="16"/>
      <c r="M53" s="1"/>
      <c r="N53" s="22"/>
      <c r="O53" s="12" t="s">
        <v>17</v>
      </c>
      <c r="P53" s="23" t="s">
        <v>2</v>
      </c>
      <c r="Q53" s="12" t="s">
        <v>3</v>
      </c>
      <c r="R53" s="15"/>
      <c r="S53" s="16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2" t="s">
        <v>6</v>
      </c>
      <c r="C54" s="4">
        <v>95.35</v>
      </c>
      <c r="D54" s="4">
        <v>124.8</v>
      </c>
      <c r="E54" s="4">
        <v>151.2</v>
      </c>
      <c r="F54" s="1"/>
      <c r="G54" s="1"/>
      <c r="H54" s="12" t="s">
        <v>6</v>
      </c>
      <c r="I54" s="13">
        <f>STDEV($C128:$C133)</f>
        <v>0.2326728748</v>
      </c>
      <c r="J54" s="13">
        <f>STDEV($D128:$D133)</f>
        <v>1.163821292</v>
      </c>
      <c r="K54" s="13"/>
      <c r="L54" s="14"/>
      <c r="M54" s="1"/>
      <c r="N54" s="22"/>
      <c r="O54" s="24" t="s">
        <v>6</v>
      </c>
      <c r="P54" s="13">
        <f>AVERAGE($C128:$C133)</f>
        <v>55.10833333</v>
      </c>
      <c r="Q54" s="13">
        <f>AVERAGE($D128:$D133)</f>
        <v>71.824</v>
      </c>
      <c r="R54" s="13"/>
      <c r="S54" s="14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2" t="s">
        <v>6</v>
      </c>
      <c r="C55" s="2">
        <v>98.06</v>
      </c>
      <c r="D55" s="2">
        <v>126.7</v>
      </c>
      <c r="E55" s="2">
        <v>151.7</v>
      </c>
      <c r="F55" s="1"/>
      <c r="G55" s="1"/>
      <c r="H55" s="12" t="s">
        <v>7</v>
      </c>
      <c r="I55" s="15">
        <f>STDEV($C134:$C139)</f>
        <v>1.167527302</v>
      </c>
      <c r="J55" s="15">
        <f>STDEV($D134:$D139)</f>
        <v>9.90113411</v>
      </c>
      <c r="K55" s="15"/>
      <c r="L55" s="16"/>
      <c r="M55" s="1"/>
      <c r="N55" s="22"/>
      <c r="O55" s="12" t="s">
        <v>7</v>
      </c>
      <c r="P55" s="15">
        <f>AVERAGE($C134:$C139)</f>
        <v>44.33</v>
      </c>
      <c r="Q55" s="15">
        <f>AVERAGE($D134:$D139)</f>
        <v>47.25166667</v>
      </c>
      <c r="R55" s="15"/>
      <c r="S55" s="16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2" t="s">
        <v>6</v>
      </c>
      <c r="C56" s="2">
        <v>98.52</v>
      </c>
      <c r="D56" s="2">
        <v>127.0</v>
      </c>
      <c r="E56" s="2">
        <v>151.8</v>
      </c>
      <c r="F56" s="1"/>
      <c r="G56" s="1"/>
      <c r="H56" s="12" t="s">
        <v>8</v>
      </c>
      <c r="I56" s="25">
        <f>STDEV($C140:$C145)</f>
        <v>11.47243784</v>
      </c>
      <c r="J56" s="25">
        <f>STDEV($D140:$D145)</f>
        <v>0.04535048695</v>
      </c>
      <c r="K56" s="25"/>
      <c r="L56" s="26"/>
      <c r="M56" s="1"/>
      <c r="N56" s="22"/>
      <c r="O56" s="12" t="s">
        <v>8</v>
      </c>
      <c r="P56" s="25">
        <f>AVERAGE($C140:$C145)</f>
        <v>48.195</v>
      </c>
      <c r="Q56" s="25">
        <f>AVERAGE($D140:$D145)</f>
        <v>49.63833333</v>
      </c>
      <c r="R56" s="25"/>
      <c r="S56" s="26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2" t="s">
        <v>6</v>
      </c>
      <c r="C57" s="2">
        <v>98.74</v>
      </c>
      <c r="D57" s="2">
        <v>127.1</v>
      </c>
      <c r="E57" s="2">
        <v>152.0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2" t="s">
        <v>7</v>
      </c>
      <c r="C58" s="2">
        <v>77.13</v>
      </c>
      <c r="D58" s="2">
        <v>100.1</v>
      </c>
      <c r="E58" s="2">
        <v>122.6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2" t="s">
        <v>7</v>
      </c>
      <c r="C59" s="2">
        <v>77.02</v>
      </c>
      <c r="D59" s="2">
        <v>100.2</v>
      </c>
      <c r="E59" s="2">
        <v>122.6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2" t="s">
        <v>7</v>
      </c>
      <c r="C60" s="2">
        <v>76.97</v>
      </c>
      <c r="D60" s="2">
        <v>100.1</v>
      </c>
      <c r="E60" s="2">
        <v>122.4</v>
      </c>
      <c r="F60" s="1"/>
      <c r="G60" s="1"/>
      <c r="H60" s="1"/>
      <c r="I60" s="1"/>
      <c r="J60" s="9" t="s">
        <v>37</v>
      </c>
      <c r="K60" s="10" t="s">
        <v>2</v>
      </c>
      <c r="L60" s="10" t="s">
        <v>3</v>
      </c>
      <c r="M60" s="10" t="s">
        <v>4</v>
      </c>
      <c r="N60" s="11" t="s">
        <v>5</v>
      </c>
      <c r="O60" s="1"/>
      <c r="P60" s="1"/>
      <c r="Q60" s="9" t="s">
        <v>37</v>
      </c>
      <c r="R60" s="10" t="s">
        <v>2</v>
      </c>
      <c r="S60" s="10" t="s">
        <v>3</v>
      </c>
      <c r="T60" s="10" t="s">
        <v>4</v>
      </c>
      <c r="U60" s="11" t="s">
        <v>5</v>
      </c>
      <c r="V60" s="1"/>
      <c r="W60" s="1"/>
      <c r="X60" s="1"/>
      <c r="Y60" s="1"/>
      <c r="Z60" s="1"/>
      <c r="AA60" s="1"/>
    </row>
    <row r="61" ht="15.75" customHeight="1">
      <c r="A61" s="1"/>
      <c r="B61" s="2" t="s">
        <v>7</v>
      </c>
      <c r="C61" s="2">
        <v>76.83</v>
      </c>
      <c r="D61" s="2">
        <v>106.1</v>
      </c>
      <c r="E61" s="2">
        <v>125.3</v>
      </c>
      <c r="F61" s="1"/>
      <c r="G61" s="1"/>
      <c r="H61" s="1"/>
      <c r="I61" s="1"/>
      <c r="J61" s="12" t="s">
        <v>38</v>
      </c>
      <c r="K61" s="13">
        <f>STDEV($D148:$D153)</f>
        <v>1.172615311</v>
      </c>
      <c r="L61" s="13">
        <f>STDEV($E148:$E153)</f>
        <v>0.7177580837</v>
      </c>
      <c r="M61" s="13">
        <f>STDEV($F148:$F153)</f>
        <v>2.121232346</v>
      </c>
      <c r="N61" s="14">
        <f>STDEV($G148:$G153)</f>
        <v>1.237335848</v>
      </c>
      <c r="O61" s="1"/>
      <c r="P61" s="1"/>
      <c r="Q61" s="12" t="s">
        <v>38</v>
      </c>
      <c r="R61" s="13">
        <f>AVERAGE($D148:$D153)</f>
        <v>44.73333333</v>
      </c>
      <c r="S61" s="13">
        <f>AVERAGE($E148:$E153)</f>
        <v>63.97166667</v>
      </c>
      <c r="T61" s="13">
        <f>AVERAGE($F148:$F153)</f>
        <v>82.26333333</v>
      </c>
      <c r="U61" s="14">
        <f>AVERAGE($G148:$G153)</f>
        <v>115.45</v>
      </c>
      <c r="V61" s="1"/>
      <c r="W61" s="1"/>
      <c r="X61" s="1"/>
      <c r="Y61" s="1"/>
      <c r="Z61" s="1"/>
      <c r="AA61" s="1"/>
    </row>
    <row r="62" ht="15.75" customHeight="1">
      <c r="A62" s="1"/>
      <c r="B62" s="2" t="s">
        <v>7</v>
      </c>
      <c r="C62" s="2">
        <v>76.82</v>
      </c>
      <c r="D62" s="2">
        <v>106.0</v>
      </c>
      <c r="E62" s="2">
        <v>125.2</v>
      </c>
      <c r="F62" s="1"/>
      <c r="G62" s="1"/>
      <c r="H62" s="1"/>
      <c r="I62" s="1"/>
      <c r="J62" s="12" t="s">
        <v>39</v>
      </c>
      <c r="K62" s="15">
        <f>STDEV($D152:$D157)</f>
        <v>0.6337323305</v>
      </c>
      <c r="L62" s="15">
        <f>STDEV($E152:$E157)</f>
        <v>0.5423805552</v>
      </c>
      <c r="M62" s="15">
        <f>STDEV($F152:$F157)</f>
        <v>1.570740802</v>
      </c>
      <c r="N62" s="16">
        <f>STDEV($G152:$G157)</f>
        <v>0.7960318252</v>
      </c>
      <c r="O62" s="1"/>
      <c r="P62" s="1"/>
      <c r="Q62" s="12" t="s">
        <v>39</v>
      </c>
      <c r="R62" s="15">
        <f>AVERAGE($D152:$D157)</f>
        <v>45.72833333</v>
      </c>
      <c r="S62" s="15">
        <f>AVERAGE($E152:$E157)</f>
        <v>64.83833333</v>
      </c>
      <c r="T62" s="15">
        <f>AVERAGE($F152:$F157)</f>
        <v>84.03333333</v>
      </c>
      <c r="U62" s="16">
        <f>AVERAGE($G152:$G157)</f>
        <v>116.5833333</v>
      </c>
      <c r="V62" s="1"/>
      <c r="W62" s="1"/>
      <c r="X62" s="1"/>
      <c r="Y62" s="1"/>
      <c r="Z62" s="1"/>
      <c r="AA62" s="1"/>
    </row>
    <row r="63" ht="15.75" customHeight="1">
      <c r="A63" s="1"/>
      <c r="B63" s="2" t="s">
        <v>7</v>
      </c>
      <c r="C63" s="2">
        <v>76.87</v>
      </c>
      <c r="D63" s="2">
        <v>105.8</v>
      </c>
      <c r="E63" s="2">
        <v>125.2</v>
      </c>
      <c r="F63" s="1"/>
      <c r="G63" s="1"/>
      <c r="H63" s="1"/>
      <c r="I63" s="1"/>
      <c r="J63" s="12" t="s">
        <v>40</v>
      </c>
      <c r="K63" s="13"/>
      <c r="L63" s="13"/>
      <c r="M63" s="13"/>
      <c r="N63" s="14"/>
      <c r="O63" s="1"/>
      <c r="P63" s="1"/>
      <c r="Q63" s="12" t="s">
        <v>40</v>
      </c>
      <c r="R63" s="13"/>
      <c r="S63" s="13"/>
      <c r="T63" s="13"/>
      <c r="U63" s="14"/>
      <c r="V63" s="1"/>
      <c r="W63" s="1"/>
      <c r="X63" s="1"/>
      <c r="Y63" s="1"/>
      <c r="Z63" s="1"/>
      <c r="AA63" s="1"/>
    </row>
    <row r="64" ht="15.75" customHeight="1">
      <c r="A64" s="1"/>
      <c r="B64" s="2" t="s">
        <v>8</v>
      </c>
      <c r="C64" s="2">
        <v>67.5</v>
      </c>
      <c r="D64" s="2">
        <v>88.51</v>
      </c>
      <c r="E64" s="2">
        <v>107.0</v>
      </c>
      <c r="F64" s="1"/>
      <c r="G64" s="1"/>
      <c r="H64" s="1"/>
      <c r="I64" s="1"/>
      <c r="J64" s="12" t="s">
        <v>41</v>
      </c>
      <c r="K64" s="15" t="s">
        <v>42</v>
      </c>
      <c r="L64" s="15" t="s">
        <v>43</v>
      </c>
      <c r="M64" s="15" t="s">
        <v>44</v>
      </c>
      <c r="N64" s="16" t="s">
        <v>45</v>
      </c>
      <c r="O64" s="1"/>
      <c r="P64" s="1"/>
      <c r="Q64" s="12" t="s">
        <v>41</v>
      </c>
      <c r="R64" s="15" t="s">
        <v>42</v>
      </c>
      <c r="S64" s="15" t="s">
        <v>43</v>
      </c>
      <c r="T64" s="15" t="s">
        <v>44</v>
      </c>
      <c r="U64" s="16" t="s">
        <v>45</v>
      </c>
      <c r="V64" s="1"/>
      <c r="W64" s="1"/>
      <c r="X64" s="1"/>
      <c r="Y64" s="1"/>
      <c r="Z64" s="1"/>
      <c r="AA64" s="1"/>
    </row>
    <row r="65" ht="15.75" customHeight="1">
      <c r="A65" s="1"/>
      <c r="B65" s="2" t="s">
        <v>8</v>
      </c>
      <c r="C65" s="2">
        <v>67.49</v>
      </c>
      <c r="D65" s="2">
        <v>88.74</v>
      </c>
      <c r="E65" s="2">
        <v>107.0</v>
      </c>
      <c r="F65" s="1"/>
      <c r="G65" s="1"/>
      <c r="H65" s="1"/>
      <c r="I65" s="1"/>
      <c r="J65" s="12"/>
      <c r="K65" s="25">
        <f t="shared" ref="K65:N65" si="2">STDEV(D162:D170)</f>
        <v>2.873312104</v>
      </c>
      <c r="L65" s="25">
        <f t="shared" si="2"/>
        <v>11.42009681</v>
      </c>
      <c r="M65" s="25">
        <f t="shared" si="2"/>
        <v>13.70255451</v>
      </c>
      <c r="N65" s="26">
        <f t="shared" si="2"/>
        <v>1.205649617</v>
      </c>
      <c r="O65" s="1"/>
      <c r="P65" s="1"/>
      <c r="Q65" s="27"/>
      <c r="R65" s="25">
        <f t="shared" ref="R65:U65" si="3">AVERAGE(D162:D170)</f>
        <v>10.21322222</v>
      </c>
      <c r="S65" s="25">
        <f t="shared" si="3"/>
        <v>842.5111111</v>
      </c>
      <c r="T65" s="25">
        <f t="shared" si="3"/>
        <v>552.2</v>
      </c>
      <c r="U65" s="26">
        <f t="shared" si="3"/>
        <v>10.19666667</v>
      </c>
      <c r="V65" s="1"/>
      <c r="W65" s="1"/>
      <c r="X65" s="1"/>
      <c r="Y65" s="1"/>
      <c r="Z65" s="1"/>
      <c r="AA65" s="1"/>
    </row>
    <row r="66" ht="15.75" customHeight="1">
      <c r="A66" s="1"/>
      <c r="B66" s="2" t="s">
        <v>8</v>
      </c>
      <c r="C66" s="2">
        <v>67.51</v>
      </c>
      <c r="D66" s="2">
        <v>88.85</v>
      </c>
      <c r="E66" s="2">
        <v>107.0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2" t="s">
        <v>8</v>
      </c>
      <c r="C67" s="2">
        <v>70.15</v>
      </c>
      <c r="D67" s="2">
        <v>91.35</v>
      </c>
      <c r="E67" s="2">
        <v>108.2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28"/>
      <c r="Q67" s="28"/>
      <c r="R67" s="28"/>
      <c r="S67" s="28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2" t="s">
        <v>8</v>
      </c>
      <c r="C68" s="2">
        <v>70.02</v>
      </c>
      <c r="D68" s="2">
        <v>91.35</v>
      </c>
      <c r="E68" s="2">
        <v>108.5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2" t="s">
        <v>8</v>
      </c>
      <c r="C69" s="2">
        <v>69.82</v>
      </c>
      <c r="D69" s="2">
        <v>91.16</v>
      </c>
      <c r="E69" s="2">
        <v>108.3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2" t="s">
        <v>31</v>
      </c>
      <c r="C70" s="4" t="s">
        <v>32</v>
      </c>
      <c r="D70" s="2" t="s">
        <v>33</v>
      </c>
      <c r="E70" s="5" t="s">
        <v>34</v>
      </c>
      <c r="F70" s="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2" t="s">
        <v>6</v>
      </c>
      <c r="C71" s="4">
        <v>116.2</v>
      </c>
      <c r="D71" s="2" t="s">
        <v>6</v>
      </c>
      <c r="E71" s="4">
        <v>77.39</v>
      </c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2" t="s">
        <v>6</v>
      </c>
      <c r="C72" s="4">
        <v>116.2</v>
      </c>
      <c r="D72" s="2" t="s">
        <v>6</v>
      </c>
      <c r="E72" s="4">
        <v>77.06</v>
      </c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2" t="s">
        <v>6</v>
      </c>
      <c r="C73" s="4">
        <v>116.2</v>
      </c>
      <c r="D73" s="2" t="s">
        <v>6</v>
      </c>
      <c r="E73" s="4">
        <v>77.18</v>
      </c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2" t="s">
        <v>6</v>
      </c>
      <c r="C74" s="4">
        <v>111.5</v>
      </c>
      <c r="D74" s="2" t="s">
        <v>6</v>
      </c>
      <c r="E74" s="1">
        <v>77.49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2" t="s">
        <v>6</v>
      </c>
      <c r="C75" s="4">
        <v>111.6</v>
      </c>
      <c r="D75" s="2" t="s">
        <v>6</v>
      </c>
      <c r="E75" s="1">
        <v>77.5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2" t="s">
        <v>6</v>
      </c>
      <c r="C76" s="4">
        <v>111.6</v>
      </c>
      <c r="D76" s="2" t="s">
        <v>6</v>
      </c>
      <c r="E76" s="1">
        <v>77.51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2" t="s">
        <v>7</v>
      </c>
      <c r="C77" s="1">
        <v>91.72</v>
      </c>
      <c r="D77" s="2" t="s">
        <v>7</v>
      </c>
      <c r="E77" s="1">
        <v>60.45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2" t="s">
        <v>7</v>
      </c>
      <c r="C78" s="1">
        <v>91.71</v>
      </c>
      <c r="D78" s="2" t="s">
        <v>7</v>
      </c>
      <c r="E78" s="1">
        <v>60.45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2" t="s">
        <v>7</v>
      </c>
      <c r="C79" s="1">
        <v>91.6</v>
      </c>
      <c r="D79" s="2" t="s">
        <v>7</v>
      </c>
      <c r="E79" s="1">
        <v>60.41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2" t="s">
        <v>7</v>
      </c>
      <c r="C80" s="1">
        <v>87.94</v>
      </c>
      <c r="D80" s="2" t="s">
        <v>7</v>
      </c>
      <c r="E80" s="1">
        <v>59.73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2" t="s">
        <v>7</v>
      </c>
      <c r="C81" s="1">
        <v>88.15</v>
      </c>
      <c r="D81" s="2" t="s">
        <v>7</v>
      </c>
      <c r="E81" s="1">
        <v>59.64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2" t="s">
        <v>7</v>
      </c>
      <c r="C82" s="1">
        <v>88.19</v>
      </c>
      <c r="D82" s="2" t="s">
        <v>7</v>
      </c>
      <c r="E82" s="1">
        <v>59.5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2" t="s">
        <v>8</v>
      </c>
      <c r="C83" s="1">
        <v>80.39</v>
      </c>
      <c r="D83" s="2" t="s">
        <v>8</v>
      </c>
      <c r="E83" s="1">
        <v>53.2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2" t="s">
        <v>8</v>
      </c>
      <c r="C84" s="1">
        <v>80.14</v>
      </c>
      <c r="D84" s="2" t="s">
        <v>8</v>
      </c>
      <c r="E84" s="1">
        <v>53.45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2" t="s">
        <v>8</v>
      </c>
      <c r="C85" s="1">
        <v>79.97</v>
      </c>
      <c r="D85" s="2" t="s">
        <v>8</v>
      </c>
      <c r="E85" s="1">
        <v>53.4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2" t="s">
        <v>8</v>
      </c>
      <c r="C86" s="1">
        <v>78.34</v>
      </c>
      <c r="D86" s="2" t="s">
        <v>8</v>
      </c>
      <c r="E86" s="1">
        <v>50.3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2" t="s">
        <v>8</v>
      </c>
      <c r="C87" s="1">
        <v>78.42</v>
      </c>
      <c r="D87" s="2" t="s">
        <v>8</v>
      </c>
      <c r="E87" s="1">
        <v>50.54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2" t="s">
        <v>8</v>
      </c>
      <c r="C88" s="1">
        <v>78.36</v>
      </c>
      <c r="D88" s="2" t="s">
        <v>8</v>
      </c>
      <c r="E88" s="1">
        <v>50.46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2" t="s">
        <v>35</v>
      </c>
      <c r="C89" s="4" t="s">
        <v>32</v>
      </c>
      <c r="D89" s="2" t="s">
        <v>36</v>
      </c>
      <c r="E89" s="5" t="s">
        <v>34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2" t="s">
        <v>6</v>
      </c>
      <c r="C90" s="1">
        <v>181.8</v>
      </c>
      <c r="D90" s="2" t="s">
        <v>6</v>
      </c>
      <c r="E90" s="1">
        <v>142.3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2" t="s">
        <v>6</v>
      </c>
      <c r="C91" s="1">
        <v>181.7</v>
      </c>
      <c r="D91" s="2" t="s">
        <v>6</v>
      </c>
      <c r="E91" s="1">
        <v>142.7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2" t="s">
        <v>6</v>
      </c>
      <c r="C92" s="1">
        <v>181.8</v>
      </c>
      <c r="D92" s="2" t="s">
        <v>6</v>
      </c>
      <c r="E92" s="1">
        <v>142.7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2" t="s">
        <v>6</v>
      </c>
      <c r="C93" s="1">
        <v>177.6</v>
      </c>
      <c r="D93" s="2" t="s">
        <v>6</v>
      </c>
      <c r="E93" s="1">
        <v>142.0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2" t="s">
        <v>6</v>
      </c>
      <c r="C94" s="1">
        <v>177.7</v>
      </c>
      <c r="D94" s="2" t="s">
        <v>6</v>
      </c>
      <c r="E94" s="1">
        <v>142.6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2" t="s">
        <v>6</v>
      </c>
      <c r="C95" s="1">
        <v>177.9</v>
      </c>
      <c r="D95" s="2" t="s">
        <v>6</v>
      </c>
      <c r="E95" s="1">
        <v>142.6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2" t="s">
        <v>7</v>
      </c>
      <c r="C96" s="1">
        <v>147.1</v>
      </c>
      <c r="D96" s="2" t="s">
        <v>7</v>
      </c>
      <c r="E96" s="1">
        <v>112.1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2" t="s">
        <v>7</v>
      </c>
      <c r="C97" s="1">
        <v>147.3</v>
      </c>
      <c r="D97" s="2" t="s">
        <v>7</v>
      </c>
      <c r="E97" s="1">
        <v>112.1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2" t="s">
        <v>7</v>
      </c>
      <c r="C98" s="1">
        <v>147.1</v>
      </c>
      <c r="D98" s="2" t="s">
        <v>7</v>
      </c>
      <c r="E98" s="1">
        <v>112.0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2" t="s">
        <v>7</v>
      </c>
      <c r="C99" s="1">
        <v>144.1</v>
      </c>
      <c r="D99" s="2" t="s">
        <v>7</v>
      </c>
      <c r="E99" s="1">
        <v>114.2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2" t="s">
        <v>7</v>
      </c>
      <c r="C100" s="1">
        <v>144.0</v>
      </c>
      <c r="D100" s="2" t="s">
        <v>7</v>
      </c>
      <c r="E100" s="1">
        <v>114.4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2" t="s">
        <v>7</v>
      </c>
      <c r="C101" s="1">
        <v>144.2</v>
      </c>
      <c r="D101" s="2" t="s">
        <v>7</v>
      </c>
      <c r="E101" s="1">
        <v>114.1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2" t="s">
        <v>8</v>
      </c>
      <c r="C102" s="1">
        <v>132.5</v>
      </c>
      <c r="D102" s="2" t="s">
        <v>8</v>
      </c>
      <c r="E102" s="1">
        <v>99.21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2" t="s">
        <v>8</v>
      </c>
      <c r="C103" s="1">
        <v>132.1</v>
      </c>
      <c r="D103" s="2" t="s">
        <v>8</v>
      </c>
      <c r="E103" s="1">
        <v>99.11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2" t="s">
        <v>8</v>
      </c>
      <c r="C104" s="1">
        <v>131.7</v>
      </c>
      <c r="D104" s="2" t="s">
        <v>8</v>
      </c>
      <c r="E104" s="1">
        <v>98.94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2" t="s">
        <v>8</v>
      </c>
      <c r="C105" s="1">
        <v>126.3</v>
      </c>
      <c r="D105" s="2" t="s">
        <v>8</v>
      </c>
      <c r="E105" s="1">
        <v>98.02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2" t="s">
        <v>8</v>
      </c>
      <c r="C106" s="1">
        <v>126.2</v>
      </c>
      <c r="D106" s="2" t="s">
        <v>8</v>
      </c>
      <c r="E106" s="1">
        <v>97.98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2" t="s">
        <v>8</v>
      </c>
      <c r="C107" s="1">
        <v>126.1</v>
      </c>
      <c r="D107" s="2" t="s">
        <v>8</v>
      </c>
      <c r="E107" s="2">
        <v>97.99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2"/>
      <c r="B108" s="2" t="s">
        <v>13</v>
      </c>
      <c r="C108" s="2" t="s">
        <v>2</v>
      </c>
      <c r="D108" s="2" t="s">
        <v>3</v>
      </c>
      <c r="E108" s="2" t="s">
        <v>4</v>
      </c>
      <c r="F108" s="2" t="s">
        <v>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2"/>
      <c r="B109" s="2" t="s">
        <v>6</v>
      </c>
      <c r="C109" s="4">
        <v>52.25</v>
      </c>
      <c r="D109" s="4">
        <v>79.93</v>
      </c>
      <c r="E109" s="4">
        <v>106.4</v>
      </c>
      <c r="F109" s="4">
        <v>153.5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2"/>
      <c r="B110" s="2" t="s">
        <v>6</v>
      </c>
      <c r="C110" s="4">
        <v>52.31</v>
      </c>
      <c r="D110" s="4">
        <v>79.99</v>
      </c>
      <c r="E110" s="4">
        <v>105.9</v>
      </c>
      <c r="F110" s="4">
        <v>152.8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2"/>
      <c r="B111" s="2" t="s">
        <v>6</v>
      </c>
      <c r="C111" s="4">
        <v>52.35</v>
      </c>
      <c r="D111" s="4">
        <v>80.09</v>
      </c>
      <c r="E111" s="4">
        <v>105.9</v>
      </c>
      <c r="F111" s="4">
        <v>152.9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2" t="s">
        <v>6</v>
      </c>
      <c r="C112" s="2">
        <v>55.17</v>
      </c>
      <c r="D112" s="2">
        <v>81.78</v>
      </c>
      <c r="E112" s="2">
        <v>106.1</v>
      </c>
      <c r="F112" s="2">
        <v>150.3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2" t="s">
        <v>6</v>
      </c>
      <c r="C113" s="2">
        <v>55.31</v>
      </c>
      <c r="D113" s="2">
        <v>81.72</v>
      </c>
      <c r="E113" s="2">
        <v>106.2</v>
      </c>
      <c r="F113" s="2">
        <v>150.4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2" t="s">
        <v>6</v>
      </c>
      <c r="C114" s="2">
        <v>55.36</v>
      </c>
      <c r="D114" s="2">
        <v>81.78</v>
      </c>
      <c r="E114" s="2">
        <v>106.3</v>
      </c>
      <c r="F114" s="2">
        <v>150.5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2" t="s">
        <v>7</v>
      </c>
      <c r="C115" s="2">
        <v>42.71</v>
      </c>
      <c r="D115" s="2">
        <v>65.63</v>
      </c>
      <c r="E115" s="2">
        <v>86.33</v>
      </c>
      <c r="F115" s="2">
        <v>127.5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2" t="s">
        <v>7</v>
      </c>
      <c r="C116" s="2">
        <v>42.67</v>
      </c>
      <c r="D116" s="2">
        <v>65.63</v>
      </c>
      <c r="E116" s="2">
        <v>86.32</v>
      </c>
      <c r="F116" s="2">
        <v>127.5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2" t="s">
        <v>7</v>
      </c>
      <c r="C117" s="2">
        <v>42.7</v>
      </c>
      <c r="D117" s="2">
        <v>65.59</v>
      </c>
      <c r="E117" s="2">
        <v>86.33</v>
      </c>
      <c r="F117" s="2">
        <v>127.4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2" t="s">
        <v>7</v>
      </c>
      <c r="C118" s="2">
        <v>46.81</v>
      </c>
      <c r="D118" s="2">
        <v>69.74</v>
      </c>
      <c r="E118" s="2">
        <v>89.89</v>
      </c>
      <c r="F118" s="2">
        <v>127.3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2" t="s">
        <v>7</v>
      </c>
      <c r="C119" s="2">
        <v>46.78</v>
      </c>
      <c r="D119" s="2">
        <v>69.68</v>
      </c>
      <c r="E119" s="2">
        <v>89.81</v>
      </c>
      <c r="F119" s="2">
        <v>127.4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2" t="s">
        <v>7</v>
      </c>
      <c r="C120" s="2">
        <v>46.68</v>
      </c>
      <c r="D120" s="2">
        <v>69.47</v>
      </c>
      <c r="E120" s="2">
        <v>89.76</v>
      </c>
      <c r="F120" s="2">
        <v>127.4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2" t="s">
        <v>8</v>
      </c>
      <c r="C121" s="2">
        <v>38.02</v>
      </c>
      <c r="D121" s="2">
        <v>58.33</v>
      </c>
      <c r="E121" s="2">
        <v>78.36</v>
      </c>
      <c r="F121" s="2">
        <v>114.0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2" t="s">
        <v>8</v>
      </c>
      <c r="C122" s="2">
        <v>37.96</v>
      </c>
      <c r="D122" s="2">
        <v>58.28</v>
      </c>
      <c r="E122" s="2">
        <v>78.24</v>
      </c>
      <c r="F122" s="2">
        <v>114.0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2" t="s">
        <v>8</v>
      </c>
      <c r="C123" s="2">
        <v>37.9</v>
      </c>
      <c r="D123" s="2">
        <v>58.2</v>
      </c>
      <c r="E123" s="2">
        <v>78.16</v>
      </c>
      <c r="F123" s="2">
        <v>113.9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2" t="s">
        <v>8</v>
      </c>
      <c r="C124" s="2">
        <v>40.18</v>
      </c>
      <c r="D124" s="2">
        <v>60.63</v>
      </c>
      <c r="E124" s="2">
        <v>79.54</v>
      </c>
      <c r="F124" s="2">
        <v>112.9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2" t="s">
        <v>8</v>
      </c>
      <c r="C125" s="2">
        <v>40.21</v>
      </c>
      <c r="D125" s="2">
        <v>60.7</v>
      </c>
      <c r="E125" s="2">
        <v>79.47</v>
      </c>
      <c r="F125" s="2">
        <v>113.0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2" t="s">
        <v>8</v>
      </c>
      <c r="C126" s="2">
        <v>40.16</v>
      </c>
      <c r="D126" s="2">
        <v>60.44</v>
      </c>
      <c r="E126" s="2">
        <v>79.25</v>
      </c>
      <c r="F126" s="2">
        <v>112.9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 t="s">
        <v>46</v>
      </c>
      <c r="C127" s="2" t="s">
        <v>2</v>
      </c>
      <c r="D127" s="2" t="s">
        <v>3</v>
      </c>
      <c r="E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2" t="s">
        <v>6</v>
      </c>
      <c r="C128" s="1">
        <v>55.26</v>
      </c>
      <c r="D128" s="1">
        <v>70.69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2" t="s">
        <v>6</v>
      </c>
      <c r="C129" s="1">
        <v>55.29</v>
      </c>
      <c r="D129" s="1">
        <v>70.77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2" t="s">
        <v>6</v>
      </c>
      <c r="C130" s="1">
        <v>55.36</v>
      </c>
      <c r="D130" s="1">
        <v>70.834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2" t="s">
        <v>6</v>
      </c>
      <c r="C131" s="1">
        <v>55.07</v>
      </c>
      <c r="D131" s="1">
        <v>72.76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2" t="s">
        <v>6</v>
      </c>
      <c r="C132" s="1">
        <v>54.82</v>
      </c>
      <c r="D132" s="1">
        <v>72.89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2" t="s">
        <v>6</v>
      </c>
      <c r="C133" s="1">
        <v>54.85</v>
      </c>
      <c r="D133" s="1">
        <v>73.0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2" t="s">
        <v>7</v>
      </c>
      <c r="C134" s="1">
        <v>45.48</v>
      </c>
      <c r="D134" s="1">
        <v>38.29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2" t="s">
        <v>7</v>
      </c>
      <c r="C135" s="1">
        <v>45.43</v>
      </c>
      <c r="D135" s="1">
        <v>38.22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2" t="s">
        <v>7</v>
      </c>
      <c r="C136" s="1">
        <v>45.27</v>
      </c>
      <c r="D136" s="1">
        <v>38.13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2" t="s">
        <v>7</v>
      </c>
      <c r="C137" s="1">
        <v>43.32</v>
      </c>
      <c r="D137" s="1">
        <v>56.27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2" t="s">
        <v>7</v>
      </c>
      <c r="C138" s="1">
        <v>43.28</v>
      </c>
      <c r="D138" s="1">
        <v>56.3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2" t="s">
        <v>7</v>
      </c>
      <c r="C139" s="1">
        <v>43.2</v>
      </c>
      <c r="D139" s="1">
        <v>56.3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2" t="s">
        <v>8</v>
      </c>
      <c r="C140" s="1">
        <v>58.94</v>
      </c>
      <c r="D140" s="1">
        <v>49.66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2" t="s">
        <v>8</v>
      </c>
      <c r="C141" s="1">
        <v>58.65</v>
      </c>
      <c r="D141" s="1">
        <v>49.71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2" t="s">
        <v>8</v>
      </c>
      <c r="C142" s="1">
        <v>58.41</v>
      </c>
      <c r="D142" s="1">
        <v>49.61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2" t="s">
        <v>8</v>
      </c>
      <c r="C143" s="1">
        <v>37.79</v>
      </c>
      <c r="D143" s="1">
        <v>49.65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2" t="s">
        <v>8</v>
      </c>
      <c r="C144" s="1">
        <v>37.72</v>
      </c>
      <c r="D144" s="1">
        <v>49.62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2" t="s">
        <v>8</v>
      </c>
      <c r="C145" s="1">
        <v>37.66</v>
      </c>
      <c r="D145" s="1">
        <v>49.58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 t="s">
        <v>39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 t="s">
        <v>47</v>
      </c>
      <c r="D147" s="2" t="s">
        <v>2</v>
      </c>
      <c r="E147" s="2" t="s">
        <v>3</v>
      </c>
      <c r="F147" s="2" t="s">
        <v>4</v>
      </c>
      <c r="G147" s="2" t="s">
        <v>5</v>
      </c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>
        <v>43.68</v>
      </c>
      <c r="E148" s="1">
        <v>63.54</v>
      </c>
      <c r="F148" s="1">
        <v>80.27</v>
      </c>
      <c r="G148" s="1">
        <v>114.5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>
        <v>43.65</v>
      </c>
      <c r="E149" s="1">
        <v>63.18</v>
      </c>
      <c r="F149" s="1">
        <v>80.33</v>
      </c>
      <c r="G149" s="1">
        <v>114.2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>
        <v>43.66</v>
      </c>
      <c r="E150" s="1">
        <v>63.26</v>
      </c>
      <c r="F150" s="1">
        <v>80.39</v>
      </c>
      <c r="G150" s="1">
        <v>114.3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>
        <v>45.86</v>
      </c>
      <c r="E151" s="1">
        <v>64.69</v>
      </c>
      <c r="F151" s="1">
        <v>83.99</v>
      </c>
      <c r="G151" s="1">
        <v>116.3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>
        <v>45.79</v>
      </c>
      <c r="E152" s="1">
        <v>64.59</v>
      </c>
      <c r="F152" s="1">
        <v>84.31</v>
      </c>
      <c r="G152" s="1">
        <v>116.6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>
        <v>45.76</v>
      </c>
      <c r="E153" s="1">
        <v>64.57</v>
      </c>
      <c r="F153" s="1">
        <v>84.29</v>
      </c>
      <c r="G153" s="1">
        <v>116.8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 t="s">
        <v>39</v>
      </c>
      <c r="D154" s="1">
        <v>46.12</v>
      </c>
      <c r="E154" s="1">
        <v>65.17</v>
      </c>
      <c r="F154" s="1">
        <v>84.75</v>
      </c>
      <c r="G154" s="1">
        <v>117.0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>
        <v>46.1</v>
      </c>
      <c r="E155" s="1">
        <v>65.33</v>
      </c>
      <c r="F155" s="1">
        <v>84.92</v>
      </c>
      <c r="G155" s="1">
        <v>117.0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>
        <v>46.12</v>
      </c>
      <c r="E156" s="1">
        <v>65.37</v>
      </c>
      <c r="F156" s="1">
        <v>85.04</v>
      </c>
      <c r="G156" s="1">
        <v>117.1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>
        <v>44.48</v>
      </c>
      <c r="E157" s="1">
        <v>64.0</v>
      </c>
      <c r="F157" s="1">
        <v>80.89</v>
      </c>
      <c r="G157" s="1">
        <v>115.0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>
        <v>44.34</v>
      </c>
      <c r="E158" s="1">
        <v>64.01</v>
      </c>
      <c r="F158" s="1">
        <v>81.13</v>
      </c>
      <c r="G158" s="1">
        <v>115.0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>
        <v>44.23</v>
      </c>
      <c r="E159" s="1">
        <v>64.12</v>
      </c>
      <c r="F159" s="1">
        <v>81.08</v>
      </c>
      <c r="G159" s="1">
        <v>115.3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 t="s">
        <v>48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 t="s">
        <v>41</v>
      </c>
      <c r="D161" s="1" t="s">
        <v>42</v>
      </c>
      <c r="E161" s="1" t="s">
        <v>43</v>
      </c>
      <c r="F161" s="1" t="s">
        <v>44</v>
      </c>
      <c r="G161" s="1" t="s">
        <v>45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>
        <v>7.023</v>
      </c>
      <c r="E162" s="1">
        <v>853.0</v>
      </c>
      <c r="F162" s="1">
        <v>535.0</v>
      </c>
      <c r="G162" s="1">
        <v>9.12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>
        <v>7.172</v>
      </c>
      <c r="E163" s="1">
        <v>852.4</v>
      </c>
      <c r="F163" s="1">
        <v>537.6</v>
      </c>
      <c r="G163" s="1">
        <v>9.4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>
        <v>7.308</v>
      </c>
      <c r="E164" s="1">
        <v>852.0</v>
      </c>
      <c r="F164" s="1">
        <v>538.4</v>
      </c>
      <c r="G164" s="1">
        <v>9.408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>
        <v>13.71</v>
      </c>
      <c r="E165" s="1">
        <v>827.2</v>
      </c>
      <c r="F165" s="1">
        <v>550.9</v>
      </c>
      <c r="G165" s="1">
        <v>8.642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>
        <v>13.76</v>
      </c>
      <c r="E166" s="1">
        <v>827.2</v>
      </c>
      <c r="F166" s="1">
        <v>551.1</v>
      </c>
      <c r="G166" s="1">
        <v>10.02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>
        <v>13.77</v>
      </c>
      <c r="E167" s="1">
        <v>828.3</v>
      </c>
      <c r="F167" s="1">
        <v>551.3</v>
      </c>
      <c r="G167" s="1">
        <v>10.09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>
        <v>9.676</v>
      </c>
      <c r="E168" s="1">
        <v>847.5</v>
      </c>
      <c r="F168" s="1">
        <v>568.1</v>
      </c>
      <c r="G168" s="1">
        <v>11.66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>
        <v>9.7</v>
      </c>
      <c r="E169" s="1">
        <v>847.4</v>
      </c>
      <c r="F169" s="1">
        <v>567.8</v>
      </c>
      <c r="G169" s="1">
        <v>11.69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>
        <v>9.8</v>
      </c>
      <c r="E170" s="1">
        <v>847.6</v>
      </c>
      <c r="F170" s="1">
        <v>569.6</v>
      </c>
      <c r="G170" s="1">
        <v>11.74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34:H35 O34:O35 H38:H39 O38:O39 B33:B43 H42:H43 O42:O43 H46:H47 O46:O47 H50:H51 O50:O51 H54:H55 O54:O55 B52:B63 B71:B82 D71:D82 B90:B101 D90:D101 B109:B120 B128:B139">
      <formula1>"20C,10C"</formula1>
    </dataValidation>
    <dataValidation type="list" allowBlank="1" showErrorMessage="1" sqref="H36 O36 H40 O40 H44 O44 H48 O48 B44:B50 H52 O52 H56 O56 B64:B69 B83:B88 D83:D88 B102:B107 D102:D107 B121:B126 B140:B145">
      <formula1>"20C,10C,5C"</formula1>
    </dataValidation>
    <dataValidation type="custom" allowBlank="1" showDropDown="1" sqref="I34:J56 L34:L56 P34:Q56 S34:S56 J61:N65 Q61:U65">
      <formula1>AND(ISNUMBER(I34),(NOT(OR(NOT(ISERROR(DATEVALUE(I34))), AND(ISNUMBER(I34), LEFT(CELL("format", I34))="D")))))</formula1>
    </dataValidation>
  </dataValidations>
  <drawing r:id="rId1"/>
  <tableParts count="4">
    <tablePart r:id="rId6"/>
    <tablePart r:id="rId7"/>
    <tablePart r:id="rId8"/>
    <tablePart r:id="rId9"/>
  </tableParts>
</worksheet>
</file>