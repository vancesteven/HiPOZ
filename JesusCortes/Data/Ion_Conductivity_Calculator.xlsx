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</sheets>
  <definedNames/>
  <calcPr/>
  <extLst>
    <ext uri="GoogleSheetsCustomDataVersion2">
      <go:sheetsCustomData xmlns:go="http://customooxmlschemas.google.com/" r:id="rId5" roundtripDataChecksum="IaWOJ9IbcAHfzvuiJ5OJfyfQvU/H9vUGcGiWJibiPDE="/>
    </ext>
  </extLst>
</workbook>
</file>

<file path=xl/sharedStrings.xml><?xml version="1.0" encoding="utf-8"?>
<sst xmlns="http://schemas.openxmlformats.org/spreadsheetml/2006/main" count="44" uniqueCount="43">
  <si>
    <t>Temp</t>
  </si>
  <si>
    <t xml:space="preserve">total conductivity: </t>
  </si>
  <si>
    <t>Ion</t>
  </si>
  <si>
    <t>z (charge)</t>
  </si>
  <si>
    <t>Molality (mol/kg)</t>
  </si>
  <si>
    <t>B</t>
  </si>
  <si>
    <t>Lambda0(t)</t>
  </si>
  <si>
    <t>A(T)</t>
  </si>
  <si>
    <t>sqrt(I)</t>
  </si>
  <si>
    <t>lambda</t>
  </si>
  <si>
    <t>Contribution</t>
  </si>
  <si>
    <t>Ionic Strength</t>
  </si>
  <si>
    <t>Na+</t>
  </si>
  <si>
    <t>NaCl</t>
  </si>
  <si>
    <t>MgSO4</t>
  </si>
  <si>
    <t>Conductivity</t>
  </si>
  <si>
    <t>Cl-</t>
  </si>
  <si>
    <t>Mg2+</t>
  </si>
  <si>
    <t>SO4^2-</t>
  </si>
  <si>
    <t>K+</t>
  </si>
  <si>
    <t>H+</t>
  </si>
  <si>
    <t>Li+</t>
  </si>
  <si>
    <t>Cs+</t>
  </si>
  <si>
    <t>NH4+</t>
  </si>
  <si>
    <t>Ca2+</t>
  </si>
  <si>
    <t>Ba2+</t>
  </si>
  <si>
    <t>Sr2+</t>
  </si>
  <si>
    <t>F-</t>
  </si>
  <si>
    <t>Br-</t>
  </si>
  <si>
    <t>CO3^2-</t>
  </si>
  <si>
    <t>HCO3-</t>
  </si>
  <si>
    <t>NO3-</t>
  </si>
  <si>
    <t>OH-</t>
  </si>
  <si>
    <t>Al3+</t>
  </si>
  <si>
    <t>Cu2+</t>
  </si>
  <si>
    <t>Fe2+</t>
  </si>
  <si>
    <t>Fe3+</t>
  </si>
  <si>
    <t>Mn2+</t>
  </si>
  <si>
    <t>Zn2+</t>
  </si>
  <si>
    <t>KSO4-</t>
  </si>
  <si>
    <t>NaSO4-</t>
  </si>
  <si>
    <t>HSO4-</t>
  </si>
  <si>
    <t>NaCO3-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</si>
</sst>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2.0"/>
      <color rgb="FF1F1F1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K2" s="1" t="s">
        <v>0</v>
      </c>
      <c r="N2" s="2" t="s">
        <v>1</v>
      </c>
    </row>
    <row r="3" ht="14.25" customHeight="1">
      <c r="A3" s="3" t="s">
        <v>2</v>
      </c>
      <c r="B3" s="3" t="s">
        <v>3</v>
      </c>
      <c r="C3" s="4" t="s">
        <v>4</v>
      </c>
      <c r="D3" s="3" t="s">
        <v>5</v>
      </c>
      <c r="E3" s="5" t="s">
        <v>6</v>
      </c>
      <c r="F3" s="3" t="s">
        <v>7</v>
      </c>
      <c r="H3" s="2" t="s">
        <v>8</v>
      </c>
      <c r="I3" s="2" t="s">
        <v>9</v>
      </c>
      <c r="J3" s="2" t="s">
        <v>10</v>
      </c>
      <c r="K3" s="6">
        <v>25.0</v>
      </c>
      <c r="L3" s="2" t="s">
        <v>11</v>
      </c>
      <c r="M3" s="2" t="s">
        <v>8</v>
      </c>
      <c r="N3" s="2">
        <f>SUM(J4:J31)</f>
        <v>0</v>
      </c>
    </row>
    <row r="4" ht="14.25" customHeight="1">
      <c r="A4" s="2" t="s">
        <v>12</v>
      </c>
      <c r="B4" s="2">
        <v>1.0</v>
      </c>
      <c r="C4" s="7">
        <v>0.0</v>
      </c>
      <c r="D4" s="2">
        <v>1.7</v>
      </c>
      <c r="E4" s="2">
        <f>0.003763*K3^2 + 0.877*K3 + 26.23</f>
        <v>50.506875</v>
      </c>
      <c r="F4" s="2">
        <f>0.00027*K3^2 + 1.141*K3+ 32.07</f>
        <v>60.76375</v>
      </c>
      <c r="H4" s="2">
        <f t="array" ref="H4">0.5*SUMPRODUCT(C4:C7, B4:B7^2)</f>
        <v>0</v>
      </c>
      <c r="I4" s="2">
        <f t="shared" ref="I4:I31" si="1">E4 - (F4 * M4) / (1 + D4 * M4)</f>
        <v>50.506875</v>
      </c>
      <c r="J4" s="2">
        <f t="shared" ref="J4:J31" si="2">I4*C4</f>
        <v>0</v>
      </c>
      <c r="L4" s="8">
        <f t="shared" ref="L4:L31" si="3">0.5*(SUMPRODUCT(C4, B4^2))</f>
        <v>0</v>
      </c>
      <c r="M4" s="8">
        <f t="shared" ref="M4:M31" si="4">SQRT(L4)</f>
        <v>0</v>
      </c>
      <c r="P4" s="2" t="s">
        <v>13</v>
      </c>
      <c r="Q4" s="2" t="s">
        <v>14</v>
      </c>
      <c r="R4" s="2" t="s">
        <v>15</v>
      </c>
    </row>
    <row r="5" ht="14.25" customHeight="1">
      <c r="A5" s="2" t="s">
        <v>16</v>
      </c>
      <c r="B5" s="2">
        <v>-1.0</v>
      </c>
      <c r="C5" s="7">
        <v>0.0</v>
      </c>
      <c r="D5" s="2">
        <v>1.5</v>
      </c>
      <c r="E5" s="2">
        <f>0.003817*K3^2 + 1.337*K3+ 40.99</f>
        <v>76.800625</v>
      </c>
      <c r="F5" s="2">
        <f>0.00613*K3^2 + 0.9469*K3 + 22.01</f>
        <v>49.51375</v>
      </c>
      <c r="I5" s="2">
        <f t="shared" si="1"/>
        <v>76.800625</v>
      </c>
      <c r="J5" s="2">
        <f t="shared" si="2"/>
        <v>0</v>
      </c>
      <c r="L5" s="8">
        <f t="shared" si="3"/>
        <v>0</v>
      </c>
      <c r="M5" s="8">
        <f t="shared" si="4"/>
        <v>0</v>
      </c>
      <c r="P5" s="9">
        <v>1.5</v>
      </c>
      <c r="Q5" s="9">
        <v>0.0</v>
      </c>
      <c r="R5" s="9">
        <v>118.36</v>
      </c>
    </row>
    <row r="6" ht="14.25" customHeight="1">
      <c r="A6" s="2" t="s">
        <v>17</v>
      </c>
      <c r="B6" s="2">
        <v>2.0</v>
      </c>
      <c r="C6" s="2">
        <v>0.0</v>
      </c>
      <c r="D6" s="2">
        <v>2.1</v>
      </c>
      <c r="E6" s="2">
        <f>0.01068*K3^2 + 1.695*K3 + 57.16</f>
        <v>106.21</v>
      </c>
      <c r="F6" s="2">
        <f>0.02453*K3^2 + 1.915*K3+ 80.5</f>
        <v>143.70625</v>
      </c>
      <c r="I6" s="2">
        <f t="shared" si="1"/>
        <v>106.21</v>
      </c>
      <c r="J6" s="2">
        <f t="shared" si="2"/>
        <v>0</v>
      </c>
      <c r="L6" s="8">
        <f t="shared" si="3"/>
        <v>0</v>
      </c>
      <c r="M6" s="8">
        <f t="shared" si="4"/>
        <v>0</v>
      </c>
      <c r="P6" s="9">
        <v>1.5</v>
      </c>
      <c r="Q6" s="9">
        <v>0.2</v>
      </c>
      <c r="R6" s="9">
        <v>143.5855</v>
      </c>
    </row>
    <row r="7" ht="14.25" customHeight="1">
      <c r="A7" s="2" t="s">
        <v>18</v>
      </c>
      <c r="B7" s="2">
        <v>-2.0</v>
      </c>
      <c r="C7" s="2">
        <v>0.0</v>
      </c>
      <c r="D7" s="2">
        <v>2.6</v>
      </c>
      <c r="E7" s="2">
        <f>0.01037*K3^2 + 2.838*K3 + 82.37</f>
        <v>159.80125</v>
      </c>
      <c r="F7" s="2">
        <f>0.03324*K3^2 + 5.889*K3 + 193.5</f>
        <v>361.5</v>
      </c>
      <c r="I7" s="2">
        <f t="shared" si="1"/>
        <v>159.80125</v>
      </c>
      <c r="J7" s="2">
        <f t="shared" si="2"/>
        <v>0</v>
      </c>
      <c r="L7" s="8">
        <f t="shared" si="3"/>
        <v>0</v>
      </c>
      <c r="M7" s="8">
        <f t="shared" si="4"/>
        <v>0</v>
      </c>
      <c r="P7" s="9">
        <v>1.5</v>
      </c>
      <c r="Q7" s="9">
        <v>0.4</v>
      </c>
      <c r="R7" s="9">
        <v>162.9153</v>
      </c>
    </row>
    <row r="8" ht="14.25" customHeight="1">
      <c r="A8" s="2" t="s">
        <v>19</v>
      </c>
      <c r="B8" s="2">
        <v>1.0</v>
      </c>
      <c r="C8" s="2">
        <v>0.0</v>
      </c>
      <c r="D8" s="2">
        <v>1.5</v>
      </c>
      <c r="E8" s="10">
        <f>0.003046*$K$3^2+1.261*$K$3+40.7</f>
        <v>74.12875</v>
      </c>
      <c r="F8" s="2">
        <f>0.00535*$K$3^2+0.9316*$K$3+22.59</f>
        <v>49.22375</v>
      </c>
      <c r="I8" s="2">
        <f t="shared" si="1"/>
        <v>74.12875</v>
      </c>
      <c r="J8" s="2">
        <f t="shared" si="2"/>
        <v>0</v>
      </c>
      <c r="L8" s="8">
        <f t="shared" si="3"/>
        <v>0</v>
      </c>
      <c r="M8" s="8">
        <f t="shared" si="4"/>
        <v>0</v>
      </c>
      <c r="P8" s="9">
        <v>1.5</v>
      </c>
      <c r="Q8" s="9">
        <v>0.6</v>
      </c>
      <c r="R8" s="9">
        <v>180.4926</v>
      </c>
    </row>
    <row r="9" ht="14.25" customHeight="1">
      <c r="A9" s="2" t="s">
        <v>20</v>
      </c>
      <c r="B9" s="2">
        <v>1.0</v>
      </c>
      <c r="C9" s="2">
        <v>0.0</v>
      </c>
      <c r="D9" s="2">
        <v>0.3</v>
      </c>
      <c r="E9" s="10">
        <f>-0.01414*$K$3^2+5.355*$K$3+224.2</f>
        <v>349.2375</v>
      </c>
      <c r="F9" s="2">
        <f>-0.00918*$K$3^2+1.842*$K$3+39.23</f>
        <v>79.5425</v>
      </c>
      <c r="I9" s="2">
        <f t="shared" si="1"/>
        <v>349.2375</v>
      </c>
      <c r="J9" s="2">
        <f t="shared" si="2"/>
        <v>0</v>
      </c>
      <c r="L9" s="8">
        <f t="shared" si="3"/>
        <v>0</v>
      </c>
      <c r="M9" s="8">
        <f t="shared" si="4"/>
        <v>0</v>
      </c>
      <c r="P9" s="9">
        <v>1.5</v>
      </c>
      <c r="Q9" s="9">
        <v>0.8</v>
      </c>
      <c r="R9" s="9">
        <v>197.0866</v>
      </c>
    </row>
    <row r="10" ht="14.25" customHeight="1">
      <c r="A10" s="2" t="s">
        <v>21</v>
      </c>
      <c r="B10" s="2">
        <v>1.0</v>
      </c>
      <c r="C10" s="2">
        <v>0.0</v>
      </c>
      <c r="D10" s="2">
        <v>0.2</v>
      </c>
      <c r="E10" s="10">
        <f>0.002628*$K$3^2+0.7079*$K$3+19.2</f>
        <v>38.54</v>
      </c>
      <c r="F10" s="2">
        <f>0.00412*$K$3^2+0.4632*$K$3+13.71</f>
        <v>27.865</v>
      </c>
      <c r="I10" s="2">
        <f t="shared" si="1"/>
        <v>38.54</v>
      </c>
      <c r="J10" s="2">
        <f t="shared" si="2"/>
        <v>0</v>
      </c>
      <c r="L10" s="8">
        <f t="shared" si="3"/>
        <v>0</v>
      </c>
      <c r="M10" s="8">
        <f t="shared" si="4"/>
        <v>0</v>
      </c>
      <c r="P10" s="9">
        <v>1.5</v>
      </c>
      <c r="Q10" s="9">
        <v>1.0</v>
      </c>
      <c r="R10" s="9">
        <v>213.0252</v>
      </c>
    </row>
    <row r="11" ht="14.25" customHeight="1">
      <c r="A11" s="2" t="s">
        <v>22</v>
      </c>
      <c r="B11" s="2">
        <v>1.0</v>
      </c>
      <c r="C11" s="2">
        <v>0.0</v>
      </c>
      <c r="D11" s="2">
        <v>1.3</v>
      </c>
      <c r="E11" s="10">
        <f>0.003453*$K$3^2+1.249*$K$3+43.94</f>
        <v>77.323125</v>
      </c>
      <c r="F11" s="2">
        <f>0.00646*$K$3^2+0.7023*$K$3+21.79</f>
        <v>43.385</v>
      </c>
      <c r="I11" s="2">
        <f t="shared" si="1"/>
        <v>77.323125</v>
      </c>
      <c r="J11" s="2">
        <f t="shared" si="2"/>
        <v>0</v>
      </c>
      <c r="L11" s="8">
        <f t="shared" si="3"/>
        <v>0</v>
      </c>
      <c r="M11" s="8">
        <f t="shared" si="4"/>
        <v>0</v>
      </c>
    </row>
    <row r="12" ht="14.25" customHeight="1">
      <c r="A12" s="2" t="s">
        <v>23</v>
      </c>
      <c r="B12" s="2">
        <v>1.0</v>
      </c>
      <c r="C12" s="2">
        <v>0.0</v>
      </c>
      <c r="D12" s="2">
        <v>0.3</v>
      </c>
      <c r="E12" s="10">
        <f>0.003341*$K$3^2+1.285*$K$3+39.04</f>
        <v>73.253125</v>
      </c>
      <c r="F12" s="2">
        <f>0.00132*$K$3^2+0.607*$K$3+11.19</f>
        <v>27.19</v>
      </c>
      <c r="I12" s="2">
        <f t="shared" si="1"/>
        <v>73.253125</v>
      </c>
      <c r="J12" s="2">
        <f t="shared" si="2"/>
        <v>0</v>
      </c>
      <c r="L12" s="8">
        <f t="shared" si="3"/>
        <v>0</v>
      </c>
      <c r="M12" s="8">
        <f t="shared" si="4"/>
        <v>0</v>
      </c>
    </row>
    <row r="13" ht="14.25" customHeight="1">
      <c r="A13" s="2" t="s">
        <v>24</v>
      </c>
      <c r="B13" s="2">
        <v>2.0</v>
      </c>
      <c r="C13" s="2">
        <v>0.0</v>
      </c>
      <c r="D13" s="2">
        <v>2.8</v>
      </c>
      <c r="E13" s="10">
        <f>0.009645*$K$3^2+1.984*$K$3+62.28</f>
        <v>117.908125</v>
      </c>
      <c r="F13" s="2">
        <f>0.03174*$K$3^2+2.334*$K$3+132.3</f>
        <v>210.4875</v>
      </c>
      <c r="I13" s="2">
        <f t="shared" si="1"/>
        <v>117.908125</v>
      </c>
      <c r="J13" s="2">
        <f t="shared" si="2"/>
        <v>0</v>
      </c>
      <c r="L13" s="8">
        <f t="shared" si="3"/>
        <v>0</v>
      </c>
      <c r="M13" s="8">
        <f t="shared" si="4"/>
        <v>0</v>
      </c>
    </row>
    <row r="14" ht="14.25" customHeight="1">
      <c r="A14" s="2" t="s">
        <v>25</v>
      </c>
      <c r="B14" s="2">
        <v>2.0</v>
      </c>
      <c r="C14" s="2">
        <v>0.0</v>
      </c>
      <c r="D14" s="2">
        <v>1.9</v>
      </c>
      <c r="E14" s="10">
        <f>0.01059*$K$3^2+2.09*$K$3+68.1</f>
        <v>126.96875</v>
      </c>
      <c r="F14" s="2">
        <f>0.03127*$K$3^2+2.248*$K$3+93.91</f>
        <v>169.65375</v>
      </c>
      <c r="I14" s="2">
        <f t="shared" si="1"/>
        <v>126.96875</v>
      </c>
      <c r="J14" s="2">
        <f t="shared" si="2"/>
        <v>0</v>
      </c>
      <c r="L14" s="8">
        <f t="shared" si="3"/>
        <v>0</v>
      </c>
      <c r="M14" s="8">
        <f t="shared" si="4"/>
        <v>0</v>
      </c>
    </row>
    <row r="15" ht="14.25" customHeight="1">
      <c r="A15" s="2" t="s">
        <v>26</v>
      </c>
      <c r="B15" s="2">
        <v>2.0</v>
      </c>
      <c r="C15" s="2">
        <v>0.0</v>
      </c>
      <c r="D15" s="2">
        <v>0.1</v>
      </c>
      <c r="E15" s="10">
        <f>0.006649*$K$3^2+2.069*$K$3+61.63</f>
        <v>117.510625</v>
      </c>
      <c r="F15" s="2">
        <f>0.00702*$K$3^2+0.9009*$K$3+33.41</f>
        <v>60.32</v>
      </c>
      <c r="I15" s="2">
        <f t="shared" si="1"/>
        <v>117.510625</v>
      </c>
      <c r="J15" s="2">
        <f t="shared" si="2"/>
        <v>0</v>
      </c>
      <c r="L15" s="8">
        <f t="shared" si="3"/>
        <v>0</v>
      </c>
      <c r="M15" s="8">
        <f t="shared" si="4"/>
        <v>0</v>
      </c>
    </row>
    <row r="16" ht="14.25" customHeight="1">
      <c r="A16" s="2" t="s">
        <v>27</v>
      </c>
      <c r="B16" s="2">
        <v>-1.0</v>
      </c>
      <c r="C16" s="2">
        <v>0.0</v>
      </c>
      <c r="D16" s="2">
        <v>0.5</v>
      </c>
      <c r="E16" s="10">
        <f>0.002764*$K$3^2+1.087*$K$3+26.66</f>
        <v>55.5625</v>
      </c>
      <c r="F16" s="2">
        <f>0.00178*$K$3^2+0.6202*$K$3+19.34</f>
        <v>35.9575</v>
      </c>
      <c r="I16" s="2">
        <f t="shared" si="1"/>
        <v>55.5625</v>
      </c>
      <c r="J16" s="2">
        <f t="shared" si="2"/>
        <v>0</v>
      </c>
      <c r="L16" s="8">
        <f t="shared" si="3"/>
        <v>0</v>
      </c>
      <c r="M16" s="8">
        <f t="shared" si="4"/>
        <v>0</v>
      </c>
    </row>
    <row r="17" ht="14.25" customHeight="1">
      <c r="A17" s="2" t="s">
        <v>28</v>
      </c>
      <c r="B17" s="2">
        <v>-1.0</v>
      </c>
      <c r="C17" s="2">
        <v>0.0</v>
      </c>
      <c r="D17" s="2">
        <v>0.1</v>
      </c>
      <c r="E17" s="10">
        <f>0.000709*$K$3^2+1.477*$K$3+40.91</f>
        <v>78.278125</v>
      </c>
      <c r="F17" s="2">
        <f>0.00251*$K$3^2+0.5398*$K$3+12.01</f>
        <v>27.07375</v>
      </c>
      <c r="I17" s="2">
        <f t="shared" si="1"/>
        <v>78.278125</v>
      </c>
      <c r="J17" s="2">
        <f t="shared" si="2"/>
        <v>0</v>
      </c>
      <c r="L17" s="8">
        <f t="shared" si="3"/>
        <v>0</v>
      </c>
      <c r="M17" s="8">
        <f t="shared" si="4"/>
        <v>0</v>
      </c>
    </row>
    <row r="18" ht="14.25" customHeight="1">
      <c r="A18" s="2" t="s">
        <v>29</v>
      </c>
      <c r="B18" s="2">
        <v>-2.0</v>
      </c>
      <c r="C18" s="2">
        <v>0.0</v>
      </c>
      <c r="D18" s="2">
        <v>2.3</v>
      </c>
      <c r="E18" s="10">
        <f>-0.000326*$K$3^2+2.998*$K$3+64.03</f>
        <v>138.77625</v>
      </c>
      <c r="F18" s="2">
        <f>-0.00181*$K$3^2+5.542*$K$3+120.2</f>
        <v>257.61875</v>
      </c>
      <c r="I18" s="2">
        <f t="shared" si="1"/>
        <v>138.77625</v>
      </c>
      <c r="J18" s="2">
        <f t="shared" si="2"/>
        <v>0</v>
      </c>
      <c r="L18" s="8">
        <f t="shared" si="3"/>
        <v>0</v>
      </c>
      <c r="M18" s="8">
        <f t="shared" si="4"/>
        <v>0</v>
      </c>
    </row>
    <row r="19" ht="14.25" customHeight="1">
      <c r="A19" s="2" t="s">
        <v>30</v>
      </c>
      <c r="B19" s="2">
        <v>-3.0</v>
      </c>
      <c r="C19" s="2">
        <v>0.0</v>
      </c>
      <c r="D19" s="2">
        <v>0.1</v>
      </c>
      <c r="E19" s="10">
        <f>0.000614*$K$3^2+0.9048*$K$3+21.14</f>
        <v>44.14375</v>
      </c>
      <c r="F19" s="2">
        <f>-0.00503*$K$3^2+0.8957*$K$3+10.97</f>
        <v>30.21875</v>
      </c>
      <c r="I19" s="2">
        <f t="shared" si="1"/>
        <v>44.14375</v>
      </c>
      <c r="J19" s="2">
        <f t="shared" si="2"/>
        <v>0</v>
      </c>
      <c r="L19" s="8">
        <f t="shared" si="3"/>
        <v>0</v>
      </c>
      <c r="M19" s="8">
        <f t="shared" si="4"/>
        <v>0</v>
      </c>
    </row>
    <row r="20" ht="14.25" customHeight="1">
      <c r="A20" s="2" t="s">
        <v>31</v>
      </c>
      <c r="B20" s="2">
        <v>-3.0</v>
      </c>
      <c r="C20" s="2">
        <v>0.0</v>
      </c>
      <c r="D20" s="2">
        <v>0.1</v>
      </c>
      <c r="E20" s="10">
        <f>0.001925*$K$3^2+1.214*$K$3+39.9</f>
        <v>71.453125</v>
      </c>
      <c r="F20" s="2">
        <f>0.00118*$K$3^2+0.5045*$K$3+23.31</f>
        <v>36.66</v>
      </c>
      <c r="I20" s="2">
        <f t="shared" si="1"/>
        <v>71.453125</v>
      </c>
      <c r="J20" s="2">
        <f t="shared" si="2"/>
        <v>0</v>
      </c>
      <c r="L20" s="8">
        <f t="shared" si="3"/>
        <v>0</v>
      </c>
      <c r="M20" s="8">
        <f t="shared" si="4"/>
        <v>0</v>
      </c>
    </row>
    <row r="21" ht="14.25" customHeight="1">
      <c r="A21" s="2" t="s">
        <v>32</v>
      </c>
      <c r="B21" s="2">
        <v>-1.0</v>
      </c>
      <c r="C21" s="2">
        <v>0.0</v>
      </c>
      <c r="D21" s="2">
        <v>0.01</v>
      </c>
      <c r="E21" s="10">
        <f>0.003396*$K$3^2+2.925*$K$3+121.3</f>
        <v>196.5475</v>
      </c>
      <c r="F21" s="2">
        <f>0.00933*$K$3^2+0.1086*$K$3+35.9</f>
        <v>44.44625</v>
      </c>
      <c r="I21" s="2">
        <f t="shared" si="1"/>
        <v>196.5475</v>
      </c>
      <c r="J21" s="2">
        <f t="shared" si="2"/>
        <v>0</v>
      </c>
      <c r="L21" s="8">
        <f t="shared" si="3"/>
        <v>0</v>
      </c>
      <c r="M21" s="8">
        <f t="shared" si="4"/>
        <v>0</v>
      </c>
    </row>
    <row r="22" ht="14.25" customHeight="1">
      <c r="A22" s="2" t="s">
        <v>33</v>
      </c>
      <c r="B22" s="2">
        <v>3.0</v>
      </c>
      <c r="C22" s="2">
        <v>0.0</v>
      </c>
      <c r="D22" s="2">
        <v>3.0</v>
      </c>
      <c r="E22" s="10">
        <f>0.02376*$K$3^2+3.227*$K$3+90.24</f>
        <v>185.765</v>
      </c>
      <c r="F22" s="2">
        <f>0.06484*$K$3^2+5.149*$K$3+76.79</f>
        <v>246.04</v>
      </c>
      <c r="I22" s="2">
        <f t="shared" si="1"/>
        <v>185.765</v>
      </c>
      <c r="J22" s="2">
        <f t="shared" si="2"/>
        <v>0</v>
      </c>
      <c r="L22" s="8">
        <f t="shared" si="3"/>
        <v>0</v>
      </c>
      <c r="M22" s="8">
        <f t="shared" si="4"/>
        <v>0</v>
      </c>
    </row>
    <row r="23" ht="14.25" customHeight="1">
      <c r="A23" s="2" t="s">
        <v>34</v>
      </c>
      <c r="B23" s="2">
        <v>2.0</v>
      </c>
      <c r="C23" s="2">
        <v>0.0</v>
      </c>
      <c r="D23" s="2">
        <v>8.0</v>
      </c>
      <c r="E23" s="10">
        <f>0.00818*$K$3^2+1.939*$K$3+53.26</f>
        <v>106.8475</v>
      </c>
      <c r="F23" s="2">
        <f>0.0292*$K$3^2+6.745*$K$3+151.5</f>
        <v>338.375</v>
      </c>
      <c r="I23" s="2">
        <f t="shared" si="1"/>
        <v>106.8475</v>
      </c>
      <c r="J23" s="2">
        <f t="shared" si="2"/>
        <v>0</v>
      </c>
      <c r="L23" s="8">
        <f t="shared" si="3"/>
        <v>0</v>
      </c>
      <c r="M23" s="8">
        <f t="shared" si="4"/>
        <v>0</v>
      </c>
    </row>
    <row r="24" ht="14.25" customHeight="1">
      <c r="A24" s="2" t="s">
        <v>35</v>
      </c>
      <c r="B24" s="2">
        <v>2.0</v>
      </c>
      <c r="C24" s="2">
        <v>0.0</v>
      </c>
      <c r="D24" s="2">
        <v>4.0</v>
      </c>
      <c r="E24" s="10">
        <f>0.009939*$K$3^2+1.878*$K$3+54.8</f>
        <v>107.961875</v>
      </c>
      <c r="F24" s="2">
        <f>0.03997*$K$3^2+3.217*$K$3+164.5</f>
        <v>269.90625</v>
      </c>
      <c r="I24" s="2">
        <f t="shared" si="1"/>
        <v>107.961875</v>
      </c>
      <c r="J24" s="2">
        <f t="shared" si="2"/>
        <v>0</v>
      </c>
      <c r="L24" s="8">
        <f t="shared" si="3"/>
        <v>0</v>
      </c>
      <c r="M24" s="8">
        <f t="shared" si="4"/>
        <v>0</v>
      </c>
    </row>
    <row r="25" ht="14.25" customHeight="1">
      <c r="A25" s="2" t="s">
        <v>36</v>
      </c>
      <c r="B25" s="2">
        <v>3.0</v>
      </c>
      <c r="C25" s="2">
        <v>0.0</v>
      </c>
      <c r="D25" s="2">
        <v>4.0</v>
      </c>
      <c r="E25" s="10">
        <f>0.02077*$K$3^2+4.39*$K$3+82.42</f>
        <v>205.15125</v>
      </c>
      <c r="F25" s="2">
        <f>-0.09676*$K$3^2+20.76*$K$3-22.18</f>
        <v>436.345</v>
      </c>
      <c r="I25" s="2">
        <f t="shared" si="1"/>
        <v>205.15125</v>
      </c>
      <c r="J25" s="2">
        <f t="shared" si="2"/>
        <v>0</v>
      </c>
      <c r="L25" s="8">
        <f t="shared" si="3"/>
        <v>0</v>
      </c>
      <c r="M25" s="8">
        <f t="shared" si="4"/>
        <v>0</v>
      </c>
    </row>
    <row r="26" ht="14.25" customHeight="1">
      <c r="A26" s="2" t="s">
        <v>37</v>
      </c>
      <c r="B26" s="2">
        <v>2.0</v>
      </c>
      <c r="C26" s="2">
        <v>0.0</v>
      </c>
      <c r="D26" s="2">
        <v>7.6</v>
      </c>
      <c r="E26" s="10">
        <f>0.01275*$K$3^2+2.109*$K$3+46.19</f>
        <v>106.88375</v>
      </c>
      <c r="F26" s="2">
        <f>0.1071*$K$3^2+9.023*$K$3+135.4</f>
        <v>427.9125</v>
      </c>
      <c r="I26" s="2">
        <f t="shared" si="1"/>
        <v>106.88375</v>
      </c>
      <c r="J26" s="2">
        <f t="shared" si="2"/>
        <v>0</v>
      </c>
      <c r="L26" s="8">
        <f t="shared" si="3"/>
        <v>0</v>
      </c>
      <c r="M26" s="8">
        <f t="shared" si="4"/>
        <v>0</v>
      </c>
    </row>
    <row r="27" ht="14.25" customHeight="1">
      <c r="A27" s="2" t="s">
        <v>38</v>
      </c>
      <c r="B27" s="2">
        <v>2.0</v>
      </c>
      <c r="C27" s="2">
        <v>0.0</v>
      </c>
      <c r="D27" s="2">
        <v>7.0</v>
      </c>
      <c r="E27" s="10">
        <f>0.01249*$K$3^2+1.912*$K$3+48.2</f>
        <v>103.80625</v>
      </c>
      <c r="F27" s="2">
        <f>0.08284*$K$3^2+5.188*$K$3+75.73</f>
        <v>257.205</v>
      </c>
      <c r="I27" s="2">
        <f t="shared" si="1"/>
        <v>103.80625</v>
      </c>
      <c r="J27" s="2">
        <f t="shared" si="2"/>
        <v>0</v>
      </c>
      <c r="L27" s="8">
        <f t="shared" si="3"/>
        <v>0</v>
      </c>
      <c r="M27" s="8">
        <f t="shared" si="4"/>
        <v>0</v>
      </c>
    </row>
    <row r="28" ht="14.25" customHeight="1">
      <c r="A28" s="2" t="s">
        <v>39</v>
      </c>
      <c r="B28" s="2">
        <v>-1.0</v>
      </c>
      <c r="C28" s="2">
        <v>0.0</v>
      </c>
      <c r="D28" s="2">
        <v>1.3</v>
      </c>
      <c r="E28" s="10">
        <f>-0.002439*$K$3^2+4.253*$K$3+129.7</f>
        <v>234.500625</v>
      </c>
      <c r="F28" s="2">
        <f>-0.01576*$K$3^2+6.21*$K$3+146.8</f>
        <v>292.2</v>
      </c>
      <c r="I28" s="2">
        <f t="shared" si="1"/>
        <v>234.500625</v>
      </c>
      <c r="J28" s="2">
        <f t="shared" si="2"/>
        <v>0</v>
      </c>
      <c r="L28" s="8">
        <f t="shared" si="3"/>
        <v>0</v>
      </c>
      <c r="M28" s="8">
        <f t="shared" si="4"/>
        <v>0</v>
      </c>
    </row>
    <row r="29" ht="14.25" customHeight="1">
      <c r="A29" s="2" t="s">
        <v>40</v>
      </c>
      <c r="B29" s="2">
        <v>-1.0</v>
      </c>
      <c r="C29" s="2">
        <v>0.0</v>
      </c>
      <c r="D29" s="2">
        <v>0.5</v>
      </c>
      <c r="E29" s="10">
        <f>0.002309*$K$3^2+5.459*$K$3+219.2</f>
        <v>357.118125</v>
      </c>
      <c r="F29" s="2">
        <f>0.01454*$K$3^2+5.193*$K$3+253.6</f>
        <v>392.5125</v>
      </c>
      <c r="I29" s="2">
        <f t="shared" si="1"/>
        <v>357.118125</v>
      </c>
      <c r="J29" s="2">
        <f t="shared" si="2"/>
        <v>0</v>
      </c>
      <c r="L29" s="8">
        <f t="shared" si="3"/>
        <v>0</v>
      </c>
      <c r="M29" s="8">
        <f t="shared" si="4"/>
        <v>0</v>
      </c>
    </row>
    <row r="30" ht="14.25" customHeight="1">
      <c r="A30" s="2" t="s">
        <v>41</v>
      </c>
      <c r="B30" s="2">
        <v>-1.0</v>
      </c>
      <c r="C30" s="2">
        <v>0.0</v>
      </c>
      <c r="D30" s="2">
        <v>7.0</v>
      </c>
      <c r="E30" s="10">
        <f>0.000927*$K$3^2+0.8337*$K$3+29.56</f>
        <v>50.981875</v>
      </c>
      <c r="F30" s="2">
        <f>0.02887*$K$3^2+0.873*$K$3+36.25</f>
        <v>76.11875</v>
      </c>
      <c r="I30" s="2">
        <f t="shared" si="1"/>
        <v>50.981875</v>
      </c>
      <c r="J30" s="2">
        <f t="shared" si="2"/>
        <v>0</v>
      </c>
      <c r="L30" s="8">
        <f t="shared" si="3"/>
        <v>0</v>
      </c>
      <c r="M30" s="8">
        <f t="shared" si="4"/>
        <v>0</v>
      </c>
    </row>
    <row r="31" ht="14.25" customHeight="1">
      <c r="A31" s="2" t="s">
        <v>42</v>
      </c>
      <c r="B31" s="2">
        <v>-1.0</v>
      </c>
      <c r="C31" s="2">
        <v>0.0</v>
      </c>
      <c r="D31" s="2">
        <v>2.0</v>
      </c>
      <c r="E31" s="10">
        <f>0.00336*$K$3^2+3.845*$K$3+89.51</f>
        <v>187.735</v>
      </c>
      <c r="F31" s="2">
        <f>0.00061*$K$3^2+6.387*$K$3+141.7</f>
        <v>301.75625</v>
      </c>
      <c r="I31" s="2">
        <f t="shared" si="1"/>
        <v>187.735</v>
      </c>
      <c r="J31" s="2">
        <f t="shared" si="2"/>
        <v>0</v>
      </c>
      <c r="L31" s="8">
        <f t="shared" si="3"/>
        <v>0</v>
      </c>
      <c r="M31" s="8">
        <f t="shared" si="4"/>
        <v>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2025-07-31T18:47:56Z</dcterms:created>
</cp:coreProperties>
</file>