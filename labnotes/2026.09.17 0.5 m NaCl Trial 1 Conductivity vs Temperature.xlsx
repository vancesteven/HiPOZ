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diaz/Documents/"/>
    </mc:Choice>
  </mc:AlternateContent>
  <xr:revisionPtr revIDLastSave="0" documentId="8_{E21C24A7-B810-844B-A977-98FC7AE6ED7E}" xr6:coauthVersionLast="47" xr6:coauthVersionMax="47" xr10:uidLastSave="{00000000-0000-0000-0000-000000000000}"/>
  <bookViews>
    <workbookView xWindow="7920" yWindow="-17180" windowWidth="21780" windowHeight="17180" xr2:uid="{EB5BB4A6-9CB3-8441-882D-77AEC3616DD1}"/>
  </bookViews>
  <sheets>
    <sheet name="zAnalysis20260917 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  <c r="O4" i="1" a="1"/>
  <c r="O4" i="1" s="1"/>
  <c r="O5" i="1" a="1"/>
  <c r="O5" i="1"/>
  <c r="O6" i="1" a="1"/>
  <c r="O6" i="1" s="1"/>
  <c r="O7" i="1" a="1"/>
  <c r="O7" i="1" s="1"/>
  <c r="O8" i="1" a="1"/>
  <c r="O8" i="1"/>
  <c r="O9" i="1" a="1"/>
  <c r="O9" i="1" s="1"/>
  <c r="O10" i="1" a="1"/>
  <c r="O10" i="1"/>
  <c r="O11" i="1" a="1"/>
  <c r="O11" i="1" s="1"/>
  <c r="O12" i="1" a="1"/>
  <c r="O12" i="1" s="1"/>
  <c r="O13" i="1" a="1"/>
  <c r="O13" i="1"/>
  <c r="O14" i="1" a="1"/>
  <c r="O14" i="1" s="1"/>
  <c r="O15" i="1" a="1"/>
  <c r="O15" i="1"/>
  <c r="O16" i="1" a="1"/>
  <c r="O16" i="1"/>
  <c r="O17" i="1" a="1"/>
  <c r="O17" i="1" s="1"/>
  <c r="O18" i="1" a="1"/>
  <c r="O18" i="1"/>
  <c r="O19" i="1" a="1"/>
  <c r="O19" i="1" s="1"/>
  <c r="O3" i="1" a="1"/>
  <c r="O3" i="1" s="1"/>
  <c r="T5" i="1" a="1"/>
  <c r="T5" i="1" s="1"/>
  <c r="R5" i="1" a="1"/>
  <c r="R5" i="1" s="1"/>
  <c r="T4" i="1" a="1"/>
  <c r="T4" i="1" s="1"/>
  <c r="R4" i="1" a="1"/>
  <c r="R4" i="1" s="1"/>
  <c r="T3" i="1" a="1"/>
  <c r="T3" i="1" s="1"/>
  <c r="R3" i="1" a="1"/>
  <c r="R3" i="1" s="1"/>
  <c r="Q2" i="1"/>
  <c r="T2" i="1" a="1"/>
  <c r="T2" i="1" s="1"/>
  <c r="R2" i="1" a="1"/>
  <c r="R2" i="1" s="1"/>
  <c r="Q3" i="1"/>
  <c r="Q5" i="1"/>
  <c r="Q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<sst xmlns="http://schemas.openxmlformats.org/spreadsheetml/2006/main" count="99" uniqueCount="47">
  <si>
    <t>group_name</t>
  </si>
  <si>
    <t>filename</t>
  </si>
  <si>
    <t>P_MPa</t>
  </si>
  <si>
    <t>T_K</t>
  </si>
  <si>
    <t>type</t>
  </si>
  <si>
    <t>Z_Ohm</t>
  </si>
  <si>
    <t>Z_unc_Ohm</t>
  </si>
  <si>
    <t>conductivity_Sm</t>
  </si>
  <si>
    <t>S_unc_pct</t>
  </si>
  <si>
    <t>comp</t>
  </si>
  <si>
    <t>w_ppt</t>
  </si>
  <si>
    <t>w_molal</t>
  </si>
  <si>
    <t>exclude</t>
  </si>
  <si>
    <t>notes</t>
  </si>
  <si>
    <t>Group 1</t>
  </si>
  <si>
    <t>PointFivemolal_NaCl_20260917_112544_P_2_T_301.txt</t>
  </si>
  <si>
    <t>measurement</t>
  </si>
  <si>
    <t>NaCl</t>
  </si>
  <si>
    <t>PointFivemolal_NaCl_20260917_112639_P_2_T_301.txt</t>
  </si>
  <si>
    <t>PointFivemolal_NaCl_20260917_112733_P_2_T_301.txt</t>
  </si>
  <si>
    <t>PointFivemolal_NaCl_20260917_134019_P_1_T_300.txt</t>
  </si>
  <si>
    <t>PointFivemolal_NaCl_20260917_134113_P_2_T_300.txt</t>
  </si>
  <si>
    <t>PointFivemolal_NaCl_20260917_134206_P_2_T_300.txt</t>
  </si>
  <si>
    <t>PointFivemolal_NaCl_20260917_144602_P_2_T_300.txt</t>
  </si>
  <si>
    <t>PointFivemolal_NaCl_20260917_144655_P_2_T_300.txt</t>
  </si>
  <si>
    <t>PointFivemolal_NaCl_20260917_144748_P_1_T_300.txt</t>
  </si>
  <si>
    <t>PointFivemolal_NaCl_20260917_153437_P_2_T_300.txt</t>
  </si>
  <si>
    <t>PointFivemolal_NaCl_20260917_153530_P_3_T_300.txt</t>
  </si>
  <si>
    <t>PointFivemolal_NaCl_20260917_153623_P_2_T_300.txt</t>
  </si>
  <si>
    <t>PointFivemolal_NaCl_20260917_160653_P_2_T_299.txt</t>
  </si>
  <si>
    <t>PointFivemolal_NaCl_20260917_160746_P_2_T_299.txt</t>
  </si>
  <si>
    <t>PointFivemolal_NaCl_20260917_160839_P_2_T_299.txt</t>
  </si>
  <si>
    <t>PointFivemolal_NaCl_20260917_165720_P_2_T_299.txt</t>
  </si>
  <si>
    <t>PointFivemolal_NaCl_20260917_165813_P_2_T_299.txt</t>
  </si>
  <si>
    <t>PointFivemolal_NaCl_20260917_165906_P_1_T_299.txt</t>
  </si>
  <si>
    <t>PointFivemolal_NaCl_20260917_172807_P_2_T_299.txt</t>
  </si>
  <si>
    <t>standard</t>
  </si>
  <si>
    <t>Standard Deviation</t>
  </si>
  <si>
    <t>Temp</t>
  </si>
  <si>
    <t>20 C</t>
  </si>
  <si>
    <t>25 C</t>
  </si>
  <si>
    <t>5 C</t>
  </si>
  <si>
    <t>-1 C</t>
  </si>
  <si>
    <t>Average</t>
  </si>
  <si>
    <t>Lit Value</t>
  </si>
  <si>
    <t>Dev</t>
  </si>
  <si>
    <t>Ind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</si>
</sst>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8913</xdr:colOff>
      <xdr:row>6</xdr:row>
      <xdr:rowOff>4338</xdr:rowOff>
    </xdr:from>
    <xdr:to>
      <xdr:col>24</xdr:col>
      <xdr:colOff>730188</xdr:colOff>
      <xdr:row>34</xdr:row>
      <xdr:rowOff>164048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657612-D632-464D-82A7-D7CF078FF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8759" y="1176646"/>
          <a:ext cx="7755121" cy="5630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5768-05A6-0548-B8FF-3B3A42F79F56}">
  <dimension ref="A1:T20"/>
  <sheetViews>
    <sheetView tabSelected="1" zoomScale="65" workbookViewId="0">
      <selection activeCell="I23" sqref="I23"/>
    </sheetView>
  </sheetViews>
  <sheetFormatPr baseColWidth="10" defaultRowHeight="16" x14ac:dyDescent="0.2"/>
  <cols>
    <col min="2" max="2" width="46.83203125" bestFit="1" customWidth="1"/>
    <col min="16" max="16" width="10.83203125" customWidth="1"/>
    <col min="17" max="17" width="16.832031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46</v>
      </c>
      <c r="P1" t="s">
        <v>38</v>
      </c>
      <c r="Q1" t="s">
        <v>37</v>
      </c>
      <c r="R1" t="s">
        <v>43</v>
      </c>
      <c r="S1" t="s">
        <v>44</v>
      </c>
      <c r="T1" t="s">
        <v>45</v>
      </c>
    </row>
    <row r="2" spans="1:20" x14ac:dyDescent="0.2">
      <c r="A2" t="s">
        <v>14</v>
      </c>
      <c r="B2" t="s">
        <v>15</v>
      </c>
      <c r="C2">
        <v>0</v>
      </c>
      <c r="D2">
        <v>298.14999999999998</v>
      </c>
      <c r="E2" t="s">
        <v>16</v>
      </c>
      <c r="F2">
        <v>25.5</v>
      </c>
      <c r="G2">
        <v>1.409</v>
      </c>
      <c r="H2">
        <v>4.6900000000000004</v>
      </c>
      <c r="I2">
        <v>0.36649999999999999</v>
      </c>
      <c r="J2" t="s">
        <v>17</v>
      </c>
      <c r="K2">
        <v>28.39</v>
      </c>
      <c r="L2">
        <v>0.5</v>
      </c>
      <c r="O2" s="2" cm="1">
        <f t="array" ref="O2">_xlfn.IFS(D2=272.15, ABS(H2-$S$2)/$S$2, D2=278.15, ABS(H2-$S$3)/$S$3, D2=293.15, ABS(H2-$S$4)/$S$4, D2=298.15, ABS(H2-$S$5)/$S$5)</f>
        <v>3.7692102509387114E-2</v>
      </c>
      <c r="P2" s="1" t="s">
        <v>42</v>
      </c>
      <c r="Q2" s="2">
        <f>STDEV(H11:H13)/AVERAGE(H11:H13)</f>
        <v>2.4383109694428385E-3</v>
      </c>
      <c r="R2" cm="1">
        <f t="array" ref="R2">AVERAGE(ABS(_xlfn.VSTACK(H11:H13)))</f>
        <v>1.8493333333333333</v>
      </c>
      <c r="S2">
        <v>2.6989999999999998</v>
      </c>
      <c r="T2" s="2" cm="1">
        <f t="array" ref="T2">AVERAGE(ABS(_xlfn.VSTACK(H11:H13)-S2))/S2</f>
        <v>0.31480795356304797</v>
      </c>
    </row>
    <row r="3" spans="1:20" x14ac:dyDescent="0.2">
      <c r="A3" t="s">
        <v>14</v>
      </c>
      <c r="B3" t="s">
        <v>18</v>
      </c>
      <c r="C3">
        <v>0</v>
      </c>
      <c r="D3">
        <v>298.14999999999998</v>
      </c>
      <c r="E3" t="s">
        <v>16</v>
      </c>
      <c r="F3">
        <v>25.49</v>
      </c>
      <c r="G3">
        <v>1.409</v>
      </c>
      <c r="H3">
        <v>4.6920000000000002</v>
      </c>
      <c r="I3">
        <v>0.36680000000000001</v>
      </c>
      <c r="J3" t="s">
        <v>17</v>
      </c>
      <c r="K3">
        <v>28.39</v>
      </c>
      <c r="L3">
        <v>0.5</v>
      </c>
      <c r="O3" s="2" cm="1">
        <f t="array" ref="O3">_xlfn.IFS(D3=272.15, ABS(H3-$S$2)/$S$2, D3=278.15, ABS(H3-$S$3)/$S$3, D3=293.15, ABS(H3-$S$4)/$S$4, D3=298.15, ABS(H3-$S$5)/$S$5)</f>
        <v>3.7281736668239772E-2</v>
      </c>
      <c r="P3" t="s">
        <v>41</v>
      </c>
      <c r="Q3" s="2">
        <f>STDEV(H8:H10,H14:H16)/AVERAGE(H8:H10,H14:H16)</f>
        <v>0.19487660383779046</v>
      </c>
      <c r="R3" cm="1">
        <f t="array" ref="R3">AVERAGE(ABS(_xlfn.VSTACK(H8:H10,H14:H16)))</f>
        <v>2.5154999999999998</v>
      </c>
      <c r="S3">
        <v>3.1343000000000001</v>
      </c>
      <c r="T3" s="2" cm="1">
        <f t="array" ref="T3">AVERAGE(ABS(_xlfn.VSTACK(H8:H10,H14:H16)-S3))/S3</f>
        <v>0.19742845292409789</v>
      </c>
    </row>
    <row r="4" spans="1:20" x14ac:dyDescent="0.2">
      <c r="A4" t="s">
        <v>14</v>
      </c>
      <c r="B4" t="s">
        <v>19</v>
      </c>
      <c r="C4">
        <v>0</v>
      </c>
      <c r="D4">
        <v>298.14999999999998</v>
      </c>
      <c r="E4" t="s">
        <v>16</v>
      </c>
      <c r="F4">
        <v>25.49</v>
      </c>
      <c r="G4">
        <v>1.41</v>
      </c>
      <c r="H4">
        <v>4.6920000000000002</v>
      </c>
      <c r="I4">
        <v>0.36709999999999998</v>
      </c>
      <c r="J4" t="s">
        <v>17</v>
      </c>
      <c r="K4">
        <v>28.39</v>
      </c>
      <c r="L4">
        <v>0.5</v>
      </c>
      <c r="O4" s="2" cm="1">
        <f t="array" ref="O4">_xlfn.IFS(D4=272.15, ABS(H4-$S$2)/$S$2, D4=278.15, ABS(H4-$S$3)/$S$3, D4=293.15, ABS(H4-$S$4)/$S$4, D4=298.15, ABS(H4-$S$5)/$S$5)</f>
        <v>3.7281736668239772E-2</v>
      </c>
      <c r="P4" t="s">
        <v>39</v>
      </c>
      <c r="Q4" s="2">
        <f>STDEV(H17:H19,H5:H7)/AVERAGE(H17:H19,H5:H7)</f>
        <v>2.0354377747722695E-3</v>
      </c>
      <c r="R4" cm="1">
        <f t="array" ref="R4">AVERAGE(ABS(_xlfn.VSTACK(H17:H19,H5:H7)))</f>
        <v>4.1416666666666666</v>
      </c>
      <c r="S4">
        <v>4.4306999999999999</v>
      </c>
      <c r="T4" s="2" cm="1">
        <f t="array" ref="T4">AVERAGE(ABS(_xlfn.VSTACK(H17:H19,H5:H7)-S4))/S4</f>
        <v>6.5234236877543719E-2</v>
      </c>
    </row>
    <row r="5" spans="1:20" x14ac:dyDescent="0.2">
      <c r="A5" t="s">
        <v>14</v>
      </c>
      <c r="B5" t="s">
        <v>20</v>
      </c>
      <c r="C5">
        <v>0</v>
      </c>
      <c r="D5">
        <v>293.14999999999998</v>
      </c>
      <c r="E5" t="s">
        <v>16</v>
      </c>
      <c r="F5">
        <v>28.83</v>
      </c>
      <c r="G5">
        <v>0.4098</v>
      </c>
      <c r="H5">
        <v>4.1479999999999997</v>
      </c>
      <c r="I5">
        <v>8.3390000000000006E-2</v>
      </c>
      <c r="J5" t="s">
        <v>17</v>
      </c>
      <c r="K5">
        <v>28.39</v>
      </c>
      <c r="L5">
        <v>0.5</v>
      </c>
      <c r="O5" s="2" cm="1">
        <f t="array" ref="O5">_xlfn.IFS(D5=272.15, ABS(H5-$S$2)/$S$2, D5=278.15, ABS(H5-$S$3)/$S$3, D5=293.15, ABS(H5-$S$4)/$S$4, D5=298.15, ABS(H5-$S$5)/$S$5)</f>
        <v>6.3804816394700647E-2</v>
      </c>
      <c r="P5" t="s">
        <v>40</v>
      </c>
      <c r="Q5" s="2">
        <f>STDEV(H2:H4)/AVERAGE(H2:H4)</f>
        <v>2.4613483125887257E-4</v>
      </c>
      <c r="R5" cm="1">
        <f t="array" ref="R5">AVERAGE(ABS(_xlfn.VSTACK(H2:H4)))</f>
        <v>4.6913333333333336</v>
      </c>
      <c r="S5">
        <v>4.8737000000000004</v>
      </c>
      <c r="T5" s="2" cm="1">
        <f t="array" ref="T5">AVERAGE(ABS(_xlfn.VSTACK(H2:H4)-S5))/S5</f>
        <v>3.741852528195555E-2</v>
      </c>
    </row>
    <row r="6" spans="1:20" x14ac:dyDescent="0.2">
      <c r="A6" t="s">
        <v>14</v>
      </c>
      <c r="B6" t="s">
        <v>21</v>
      </c>
      <c r="C6">
        <v>0</v>
      </c>
      <c r="D6">
        <v>293.14999999999998</v>
      </c>
      <c r="E6" t="s">
        <v>16</v>
      </c>
      <c r="F6">
        <v>28.82</v>
      </c>
      <c r="G6">
        <v>0.4113</v>
      </c>
      <c r="H6">
        <v>4.1500000000000004</v>
      </c>
      <c r="I6">
        <v>8.3760000000000001E-2</v>
      </c>
      <c r="J6" t="s">
        <v>17</v>
      </c>
      <c r="K6">
        <v>28.39</v>
      </c>
      <c r="L6">
        <v>0.5</v>
      </c>
      <c r="O6" s="2" cm="1">
        <f t="array" ref="O6">_xlfn.IFS(D6=272.15, ABS(H6-$S$2)/$S$2, D6=278.15, ABS(H6-$S$3)/$S$3, D6=293.15, ABS(H6-$S$4)/$S$4, D6=298.15, ABS(H6-$S$5)/$S$5)</f>
        <v>6.3353420452750026E-2</v>
      </c>
    </row>
    <row r="7" spans="1:20" x14ac:dyDescent="0.2">
      <c r="A7" t="s">
        <v>14</v>
      </c>
      <c r="B7" t="s">
        <v>22</v>
      </c>
      <c r="C7">
        <v>0</v>
      </c>
      <c r="D7">
        <v>293.14999999999998</v>
      </c>
      <c r="E7" t="s">
        <v>16</v>
      </c>
      <c r="F7">
        <v>28.82</v>
      </c>
      <c r="G7">
        <v>0.41249999999999998</v>
      </c>
      <c r="H7">
        <v>4.1500000000000004</v>
      </c>
      <c r="I7">
        <v>8.4000000000000005E-2</v>
      </c>
      <c r="J7" t="s">
        <v>17</v>
      </c>
      <c r="K7">
        <v>28.39</v>
      </c>
      <c r="L7">
        <v>0.5</v>
      </c>
      <c r="O7" s="2" cm="1">
        <f t="array" ref="O7">_xlfn.IFS(D7=272.15, ABS(H7-$S$2)/$S$2, D7=278.15, ABS(H7-$S$3)/$S$3, D7=293.15, ABS(H7-$S$4)/$S$4, D7=298.15, ABS(H7-$S$5)/$S$5)</f>
        <v>6.3353420452750026E-2</v>
      </c>
    </row>
    <row r="8" spans="1:20" x14ac:dyDescent="0.2">
      <c r="A8" t="s">
        <v>14</v>
      </c>
      <c r="B8" t="s">
        <v>23</v>
      </c>
      <c r="C8">
        <v>0</v>
      </c>
      <c r="D8">
        <v>278.14999999999998</v>
      </c>
      <c r="E8" t="s">
        <v>16</v>
      </c>
      <c r="F8">
        <v>40.369999999999997</v>
      </c>
      <c r="G8">
        <v>0.2863</v>
      </c>
      <c r="H8">
        <v>2.9630000000000001</v>
      </c>
      <c r="I8">
        <v>2.971E-2</v>
      </c>
      <c r="J8" t="s">
        <v>17</v>
      </c>
      <c r="K8">
        <v>28.39</v>
      </c>
      <c r="L8">
        <v>0.5</v>
      </c>
      <c r="O8" s="2" cm="1">
        <f t="array" ref="O8">_xlfn.IFS(D8=272.15, ABS(H8-$S$2)/$S$2, D8=278.15, ABS(H8-$S$3)/$S$3, D8=293.15, ABS(H8-$S$4)/$S$4, D8=298.15, ABS(H8-$S$5)/$S$5)</f>
        <v>5.4653351625562327E-2</v>
      </c>
    </row>
    <row r="9" spans="1:20" x14ac:dyDescent="0.2">
      <c r="A9" t="s">
        <v>14</v>
      </c>
      <c r="B9" t="s">
        <v>24</v>
      </c>
      <c r="C9">
        <v>0</v>
      </c>
      <c r="D9">
        <v>278.14999999999998</v>
      </c>
      <c r="E9" t="s">
        <v>16</v>
      </c>
      <c r="F9">
        <v>40.369999999999997</v>
      </c>
      <c r="G9">
        <v>0.28660000000000002</v>
      </c>
      <c r="H9">
        <v>2.9630000000000001</v>
      </c>
      <c r="I9">
        <v>2.9739999999999999E-2</v>
      </c>
      <c r="J9" t="s">
        <v>17</v>
      </c>
      <c r="K9">
        <v>28.39</v>
      </c>
      <c r="L9">
        <v>0.5</v>
      </c>
      <c r="O9" s="2" cm="1">
        <f t="array" ref="O9">_xlfn.IFS(D9=272.15, ABS(H9-$S$2)/$S$2, D9=278.15, ABS(H9-$S$3)/$S$3, D9=293.15, ABS(H9-$S$4)/$S$4, D9=298.15, ABS(H9-$S$5)/$S$5)</f>
        <v>5.4653351625562327E-2</v>
      </c>
    </row>
    <row r="10" spans="1:20" x14ac:dyDescent="0.2">
      <c r="A10" t="s">
        <v>14</v>
      </c>
      <c r="B10" t="s">
        <v>25</v>
      </c>
      <c r="C10">
        <v>0</v>
      </c>
      <c r="D10">
        <v>278.14999999999998</v>
      </c>
      <c r="E10" t="s">
        <v>16</v>
      </c>
      <c r="F10">
        <v>40.369999999999997</v>
      </c>
      <c r="G10">
        <v>0.28870000000000001</v>
      </c>
      <c r="H10">
        <v>2.9630000000000001</v>
      </c>
      <c r="I10">
        <v>2.9960000000000001E-2</v>
      </c>
      <c r="J10" t="s">
        <v>17</v>
      </c>
      <c r="K10">
        <v>28.39</v>
      </c>
      <c r="L10">
        <v>0.5</v>
      </c>
      <c r="O10" s="2" cm="1">
        <f t="array" ref="O10">_xlfn.IFS(D10=272.15, ABS(H10-$S$2)/$S$2, D10=278.15, ABS(H10-$S$3)/$S$3, D10=293.15, ABS(H10-$S$4)/$S$4, D10=298.15, ABS(H10-$S$5)/$S$5)</f>
        <v>5.4653351625562327E-2</v>
      </c>
    </row>
    <row r="11" spans="1:20" x14ac:dyDescent="0.2">
      <c r="A11" t="s">
        <v>14</v>
      </c>
      <c r="B11" t="s">
        <v>26</v>
      </c>
      <c r="C11">
        <v>0</v>
      </c>
      <c r="D11">
        <v>272.14999999999998</v>
      </c>
      <c r="E11" t="s">
        <v>16</v>
      </c>
      <c r="F11">
        <v>64.510000000000005</v>
      </c>
      <c r="G11">
        <v>0.48980000000000001</v>
      </c>
      <c r="H11">
        <v>1.8540000000000001</v>
      </c>
      <c r="I11">
        <v>1.9910000000000001E-2</v>
      </c>
      <c r="J11" t="s">
        <v>17</v>
      </c>
      <c r="K11">
        <v>28.39</v>
      </c>
      <c r="L11">
        <v>0.5</v>
      </c>
      <c r="O11" s="2" cm="1">
        <f t="array" ref="O11">_xlfn.IFS(D11=272.15, ABS(H11-$S$2)/$S$2, D11=278.15, ABS(H11-$S$3)/$S$3, D11=293.15, ABS(H11-$S$4)/$S$4, D11=298.15, ABS(H11-$S$5)/$S$5)</f>
        <v>0.31307891811782135</v>
      </c>
    </row>
    <row r="12" spans="1:20" x14ac:dyDescent="0.2">
      <c r="A12" t="s">
        <v>14</v>
      </c>
      <c r="B12" t="s">
        <v>27</v>
      </c>
      <c r="C12">
        <v>0</v>
      </c>
      <c r="D12">
        <v>272.14999999999998</v>
      </c>
      <c r="E12" t="s">
        <v>16</v>
      </c>
      <c r="F12">
        <v>64.69</v>
      </c>
      <c r="G12">
        <v>0.46110000000000001</v>
      </c>
      <c r="H12">
        <v>1.849</v>
      </c>
      <c r="I12">
        <v>1.864E-2</v>
      </c>
      <c r="J12" t="s">
        <v>17</v>
      </c>
      <c r="K12">
        <v>28.39</v>
      </c>
      <c r="L12">
        <v>0.5</v>
      </c>
      <c r="O12" s="2" cm="1">
        <f t="array" ref="O12">_xlfn.IFS(D12=272.15, ABS(H12-$S$2)/$S$2, D12=278.15, ABS(H12-$S$3)/$S$3, D12=293.15, ABS(H12-$S$4)/$S$4, D12=298.15, ABS(H12-$S$5)/$S$5)</f>
        <v>0.3149314560948499</v>
      </c>
    </row>
    <row r="13" spans="1:20" x14ac:dyDescent="0.2">
      <c r="A13" t="s">
        <v>14</v>
      </c>
      <c r="B13" t="s">
        <v>28</v>
      </c>
      <c r="C13">
        <v>0</v>
      </c>
      <c r="D13">
        <v>272.14999999999998</v>
      </c>
      <c r="E13" t="s">
        <v>16</v>
      </c>
      <c r="F13">
        <v>64.84</v>
      </c>
      <c r="G13">
        <v>0.42649999999999999</v>
      </c>
      <c r="H13">
        <v>1.845</v>
      </c>
      <c r="I13">
        <v>1.7160000000000002E-2</v>
      </c>
      <c r="J13" t="s">
        <v>17</v>
      </c>
      <c r="K13">
        <v>28.39</v>
      </c>
      <c r="L13">
        <v>0.5</v>
      </c>
      <c r="O13" s="2" cm="1">
        <f t="array" ref="O13">_xlfn.IFS(D13=272.15, ABS(H13-$S$2)/$S$2, D13=278.15, ABS(H13-$S$3)/$S$3, D13=293.15, ABS(H13-$S$4)/$S$4, D13=298.15, ABS(H13-$S$5)/$S$5)</f>
        <v>0.31641348647647272</v>
      </c>
    </row>
    <row r="14" spans="1:20" x14ac:dyDescent="0.2">
      <c r="A14" t="s">
        <v>14</v>
      </c>
      <c r="B14" t="s">
        <v>29</v>
      </c>
      <c r="C14">
        <v>0</v>
      </c>
      <c r="D14">
        <v>278.14999999999998</v>
      </c>
      <c r="E14" t="s">
        <v>16</v>
      </c>
      <c r="F14">
        <v>57.81</v>
      </c>
      <c r="G14">
        <v>0.24129999999999999</v>
      </c>
      <c r="H14">
        <v>2.069</v>
      </c>
      <c r="I14">
        <v>1.221E-2</v>
      </c>
      <c r="J14" t="s">
        <v>17</v>
      </c>
      <c r="K14">
        <v>28.39</v>
      </c>
      <c r="L14">
        <v>0.5</v>
      </c>
      <c r="O14" s="2" cm="1">
        <f t="array" ref="O14">_xlfn.IFS(D14=272.15, ABS(H14-$S$2)/$S$2, D14=278.15, ABS(H14-$S$3)/$S$3, D14=293.15, ABS(H14-$S$4)/$S$4, D14=298.15, ABS(H14-$S$5)/$S$5)</f>
        <v>0.3398845037169384</v>
      </c>
    </row>
    <row r="15" spans="1:20" x14ac:dyDescent="0.2">
      <c r="A15" t="s">
        <v>14</v>
      </c>
      <c r="B15" t="s">
        <v>30</v>
      </c>
      <c r="C15">
        <v>0</v>
      </c>
      <c r="D15">
        <v>278.14999999999998</v>
      </c>
      <c r="E15" t="s">
        <v>16</v>
      </c>
      <c r="F15">
        <v>57.82</v>
      </c>
      <c r="G15">
        <v>0.23930000000000001</v>
      </c>
      <c r="H15">
        <v>2.0680000000000001</v>
      </c>
      <c r="I15">
        <v>1.2109999999999999E-2</v>
      </c>
      <c r="J15" t="s">
        <v>17</v>
      </c>
      <c r="K15">
        <v>28.39</v>
      </c>
      <c r="L15">
        <v>0.5</v>
      </c>
      <c r="O15" s="2" cm="1">
        <f t="array" ref="O15">_xlfn.IFS(D15=272.15, ABS(H15-$S$2)/$S$2, D15=278.15, ABS(H15-$S$3)/$S$3, D15=293.15, ABS(H15-$S$4)/$S$4, D15=298.15, ABS(H15-$S$5)/$S$5)</f>
        <v>0.34020355422263343</v>
      </c>
    </row>
    <row r="16" spans="1:20" x14ac:dyDescent="0.2">
      <c r="A16" t="s">
        <v>14</v>
      </c>
      <c r="B16" t="s">
        <v>31</v>
      </c>
      <c r="C16">
        <v>0</v>
      </c>
      <c r="D16">
        <v>278.14999999999998</v>
      </c>
      <c r="E16" t="s">
        <v>16</v>
      </c>
      <c r="F16">
        <v>57.85</v>
      </c>
      <c r="G16">
        <v>0.24279999999999999</v>
      </c>
      <c r="H16">
        <v>2.0670000000000002</v>
      </c>
      <c r="I16">
        <v>1.227E-2</v>
      </c>
      <c r="J16" t="s">
        <v>17</v>
      </c>
      <c r="K16">
        <v>28.39</v>
      </c>
      <c r="L16">
        <v>0.5</v>
      </c>
      <c r="O16" s="2" cm="1">
        <f t="array" ref="O16">_xlfn.IFS(D16=272.15, ABS(H16-$S$2)/$S$2, D16=278.15, ABS(H16-$S$3)/$S$3, D16=293.15, ABS(H16-$S$4)/$S$4, D16=298.15, ABS(H16-$S$5)/$S$5)</f>
        <v>0.34052260472832846</v>
      </c>
    </row>
    <row r="17" spans="1:15" x14ac:dyDescent="0.2">
      <c r="A17" t="s">
        <v>14</v>
      </c>
      <c r="B17" t="s">
        <v>32</v>
      </c>
      <c r="C17">
        <v>0</v>
      </c>
      <c r="D17">
        <v>293.14999999999998</v>
      </c>
      <c r="E17" t="s">
        <v>16</v>
      </c>
      <c r="F17">
        <v>28.93</v>
      </c>
      <c r="G17">
        <v>0.40210000000000001</v>
      </c>
      <c r="H17">
        <v>4.1340000000000003</v>
      </c>
      <c r="I17">
        <v>8.1259999999999999E-2</v>
      </c>
      <c r="J17" t="s">
        <v>17</v>
      </c>
      <c r="K17">
        <v>28.39</v>
      </c>
      <c r="L17">
        <v>0.5</v>
      </c>
      <c r="O17" s="2" cm="1">
        <f t="array" ref="O17">_xlfn.IFS(D17=272.15, ABS(H17-$S$2)/$S$2, D17=278.15, ABS(H17-$S$3)/$S$3, D17=293.15, ABS(H17-$S$4)/$S$4, D17=298.15, ABS(H17-$S$5)/$S$5)</f>
        <v>6.6964587988353877E-2</v>
      </c>
    </row>
    <row r="18" spans="1:15" x14ac:dyDescent="0.2">
      <c r="A18" t="s">
        <v>14</v>
      </c>
      <c r="B18" t="s">
        <v>33</v>
      </c>
      <c r="C18">
        <v>0</v>
      </c>
      <c r="D18">
        <v>293.14999999999998</v>
      </c>
      <c r="E18" t="s">
        <v>16</v>
      </c>
      <c r="F18">
        <v>28.93</v>
      </c>
      <c r="G18">
        <v>0.4017</v>
      </c>
      <c r="H18">
        <v>4.1340000000000003</v>
      </c>
      <c r="I18">
        <v>8.1180000000000002E-2</v>
      </c>
      <c r="J18" t="s">
        <v>17</v>
      </c>
      <c r="K18">
        <v>28.39</v>
      </c>
      <c r="L18">
        <v>0.5</v>
      </c>
      <c r="O18" s="2" cm="1">
        <f t="array" ref="O18">_xlfn.IFS(D18=272.15, ABS(H18-$S$2)/$S$2, D18=278.15, ABS(H18-$S$3)/$S$3, D18=293.15, ABS(H18-$S$4)/$S$4, D18=298.15, ABS(H18-$S$5)/$S$5)</f>
        <v>6.6964587988353877E-2</v>
      </c>
    </row>
    <row r="19" spans="1:15" x14ac:dyDescent="0.2">
      <c r="A19" t="s">
        <v>14</v>
      </c>
      <c r="B19" t="s">
        <v>34</v>
      </c>
      <c r="C19">
        <v>0</v>
      </c>
      <c r="D19">
        <v>293.14999999999998</v>
      </c>
      <c r="E19" t="s">
        <v>16</v>
      </c>
      <c r="F19">
        <v>28.93</v>
      </c>
      <c r="G19">
        <v>0.4002</v>
      </c>
      <c r="H19">
        <v>4.1340000000000003</v>
      </c>
      <c r="I19">
        <v>8.0879999999999994E-2</v>
      </c>
      <c r="J19" t="s">
        <v>17</v>
      </c>
      <c r="K19">
        <v>28.39</v>
      </c>
      <c r="L19">
        <v>0.5</v>
      </c>
      <c r="O19" s="2" cm="1">
        <f t="array" ref="O19">_xlfn.IFS(D19=272.15, ABS(H19-$S$2)/$S$2, D19=278.15, ABS(H19-$S$3)/$S$3, D19=293.15, ABS(H19-$S$4)/$S$4, D19=298.15, ABS(H19-$S$5)/$S$5)</f>
        <v>6.6964587988353877E-2</v>
      </c>
    </row>
    <row r="20" spans="1:15" x14ac:dyDescent="0.2">
      <c r="A20" t="s">
        <v>14</v>
      </c>
      <c r="B20" t="s">
        <v>35</v>
      </c>
      <c r="C20">
        <v>0</v>
      </c>
      <c r="D20">
        <v>298.14999999999998</v>
      </c>
      <c r="E20" t="s">
        <v>36</v>
      </c>
      <c r="F20">
        <v>14.95</v>
      </c>
      <c r="G20">
        <v>0.3427</v>
      </c>
      <c r="H20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zAnalysis20260917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Diaz, Zachary (US 322A-Affiliate)</cp:lastModifiedBy>
  <dcterms:created xsi:type="dcterms:W3CDTF">2026-09-23T17:21:42Z</dcterms:created>
  <dcterms:modified xsi:type="dcterms:W3CDTF">2026-10-15T22:14:27Z</dcterms:modified>
</cp:coreProperties>
</file>