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diaz/Documents/"/>
    </mc:Choice>
  </mc:AlternateContent>
  <xr:revisionPtr revIDLastSave="0" documentId="8_{8341C4DB-8F9C-8F4D-BEEF-08AF28B35817}" xr6:coauthVersionLast="47" xr6:coauthVersionMax="47" xr10:uidLastSave="{00000000-0000-0000-0000-000000000000}"/>
  <bookViews>
    <workbookView xWindow="-1100" yWindow="-16680" windowWidth="27640" windowHeight="16680" xr2:uid="{D8D8B6CC-503A-4441-BB17-3807F7735E8A}"/>
  </bookViews>
  <sheets>
    <sheet name="zAnalysis20260924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 a="1"/>
  <c r="T5" i="1" s="1"/>
  <c r="T4" i="1" a="1"/>
  <c r="T4" i="1" s="1"/>
  <c r="T3" i="1" a="1"/>
  <c r="T3" i="1" s="1"/>
  <c r="R2" i="1" a="1"/>
  <c r="R2" i="1"/>
  <c r="T2" i="1" a="1"/>
  <c r="T2" i="1" s="1"/>
  <c r="R5" i="1" a="1"/>
  <c r="R5" i="1" s="1"/>
  <c r="R4" i="1" a="1"/>
  <c r="R4" i="1" s="1"/>
  <c r="Q4" i="1"/>
  <c r="R3" i="1" a="1"/>
  <c r="R3" i="1" s="1"/>
  <c r="Q5" i="1"/>
  <c r="Q3" i="1"/>
  <c r="Q2" i="1"/>
  <c r="O44" i="1" a="1"/>
  <c r="O44" i="1" s="1"/>
  <c r="O37" i="1" a="1"/>
  <c r="O37" i="1" s="1"/>
  <c r="O38" i="1" a="1"/>
  <c r="O38" i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" i="1" a="1"/>
  <c r="O4" i="1" s="1"/>
  <c r="O5" i="1" a="1"/>
  <c r="O5" i="1"/>
  <c r="O6" i="1" a="1"/>
  <c r="O6" i="1" s="1"/>
  <c r="O7" i="1" a="1"/>
  <c r="O7" i="1" s="1"/>
  <c r="O8" i="1" a="1"/>
  <c r="O8" i="1"/>
  <c r="O9" i="1" a="1"/>
  <c r="O9" i="1" s="1"/>
  <c r="O10" i="1" a="1"/>
  <c r="O10" i="1"/>
  <c r="O11" i="1" a="1"/>
  <c r="O11" i="1"/>
  <c r="O12" i="1" a="1"/>
  <c r="O12" i="1"/>
  <c r="O13" i="1" a="1"/>
  <c r="O13" i="1"/>
  <c r="O14" i="1" a="1"/>
  <c r="O14" i="1" s="1"/>
  <c r="O15" i="1" a="1"/>
  <c r="O15" i="1"/>
  <c r="O16" i="1" a="1"/>
  <c r="O16" i="1"/>
  <c r="O17" i="1" a="1"/>
  <c r="O17" i="1"/>
  <c r="O18" i="1" a="1"/>
  <c r="O18" i="1"/>
  <c r="O19" i="1" a="1"/>
  <c r="O19" i="1" s="1"/>
  <c r="O20" i="1" a="1"/>
  <c r="O20" i="1"/>
  <c r="O21" i="1" a="1"/>
  <c r="O21" i="1"/>
  <c r="O22" i="1" a="1"/>
  <c r="O22" i="1"/>
  <c r="O23" i="1" a="1"/>
  <c r="O23" i="1"/>
  <c r="O24" i="1" a="1"/>
  <c r="O24" i="1" s="1"/>
  <c r="O25" i="1" a="1"/>
  <c r="O25" i="1"/>
  <c r="O26" i="1" a="1"/>
  <c r="O26" i="1"/>
  <c r="O27" i="1" a="1"/>
  <c r="O27" i="1"/>
  <c r="O28" i="1" a="1"/>
  <c r="O28" i="1"/>
  <c r="O29" i="1" a="1"/>
  <c r="O29" i="1" s="1"/>
  <c r="O30" i="1" a="1"/>
  <c r="O30" i="1"/>
  <c r="O31" i="1" a="1"/>
  <c r="O31" i="1"/>
  <c r="O32" i="1" a="1"/>
  <c r="O32" i="1" s="1"/>
  <c r="O33" i="1" a="1"/>
  <c r="O33" i="1"/>
  <c r="O34" i="1" a="1"/>
  <c r="O34" i="1" s="1"/>
  <c r="O35" i="1" a="1"/>
  <c r="O35" i="1"/>
  <c r="O36" i="1" a="1"/>
  <c r="O36" i="1"/>
  <c r="O3" i="1" a="1"/>
  <c r="O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<sst xmlns="http://schemas.openxmlformats.org/spreadsheetml/2006/main" count="195" uniqueCount="71">
  <si>
    <t>group_name</t>
  </si>
  <si>
    <t>filename</t>
  </si>
  <si>
    <t>P_MPa</t>
  </si>
  <si>
    <t>T_K</t>
  </si>
  <si>
    <t>type</t>
  </si>
  <si>
    <t>Z_Ohm</t>
  </si>
  <si>
    <t>Z_unc_Ohm</t>
  </si>
  <si>
    <t>conductivity_Sm</t>
  </si>
  <si>
    <t>S_unc_pct</t>
  </si>
  <si>
    <t>comp</t>
  </si>
  <si>
    <t>w_ppt</t>
  </si>
  <si>
    <t>w_molal</t>
  </si>
  <si>
    <t>exclude</t>
  </si>
  <si>
    <t>notes</t>
  </si>
  <si>
    <t>Group 1</t>
  </si>
  <si>
    <t>Default_20260924_122927_P_2_T_295.txt</t>
  </si>
  <si>
    <t>standard</t>
  </si>
  <si>
    <t>Default_20260924_144535_P_3_T_296.txt</t>
  </si>
  <si>
    <t>measurement</t>
  </si>
  <si>
    <t>NaCl</t>
  </si>
  <si>
    <t>Default_20260924_144629_P_2_T_296.txt</t>
  </si>
  <si>
    <t>Default_20260924_144724_P_2_T_296.txt</t>
  </si>
  <si>
    <t>Default_20260924_145624_P_3_T_296.txt</t>
  </si>
  <si>
    <t>Default_20260924_145719_P_2_T_296.txt</t>
  </si>
  <si>
    <t>Default_20260924_145813_P_2_T_296.txt</t>
  </si>
  <si>
    <t>Default_20260924_151740_P_2_T_296.txt</t>
  </si>
  <si>
    <t>Default_20260924_151833_P_3_T_296.txt</t>
  </si>
  <si>
    <t>Default_20260924_151927_P_2_T_296.txt</t>
  </si>
  <si>
    <t>Default_20260924_152857_P_2_T_296.txt</t>
  </si>
  <si>
    <t>Default_20260924_152950_P_2_T_296.txt</t>
  </si>
  <si>
    <t>Default_20260924_153043_P_2_T_296.txt</t>
  </si>
  <si>
    <t>Default_20260924_161154_P_2_T_296.txt</t>
  </si>
  <si>
    <t>Default_20260924_161246_P_2_T_296.txt</t>
  </si>
  <si>
    <t>Default_20260924_161339_P_3_T_296.txt</t>
  </si>
  <si>
    <t>Default_20260924_162307_P_2_T_296.txt</t>
  </si>
  <si>
    <t>Default_20260924_162400_P_2_T_296.txt</t>
  </si>
  <si>
    <t>Default_20260924_162453_P_4_T_296.txt</t>
  </si>
  <si>
    <t>Default_20260924_165319_P_2_T_296.txt</t>
  </si>
  <si>
    <t>Default_20260924_165412_P_1_T_296.txt</t>
  </si>
  <si>
    <t>Default_20260924_165505_P_1_T_296.txt</t>
  </si>
  <si>
    <t>Default_20260924_170433_P_1_T_296.txt</t>
  </si>
  <si>
    <t>Default_20260924_170526_P_3_T_296.txt</t>
  </si>
  <si>
    <t>Default_20260924_170619_P_2_T_296.txt</t>
  </si>
  <si>
    <t>Default_20260924_172854_P_3_T_296.txt</t>
  </si>
  <si>
    <t>Default_20260924_172947_P_2_T_296.txt</t>
  </si>
  <si>
    <t>Default_20260924_173040_P_2_T_296.txt</t>
  </si>
  <si>
    <t>Default_20260925_090812_P_3_T_295.txt</t>
  </si>
  <si>
    <t>Default_20260925_090905_P_2_T_295.txt</t>
  </si>
  <si>
    <t>Default_20260925_090958_P_3_T_295.txt</t>
  </si>
  <si>
    <t>Default_20260925_093312_P_3_T_295.txt</t>
  </si>
  <si>
    <t>Default_20260925_093406_P_2_T_295.txt</t>
  </si>
  <si>
    <t>Default_20260925_093458_P_1_T_295.txt</t>
  </si>
  <si>
    <t>Default_20260925_094341_P_2_T_295.txt</t>
  </si>
  <si>
    <t>Default_20260925_094434_P_2_T_295.txt</t>
  </si>
  <si>
    <t>Default_20260925_094527_P_3_T_295.txt</t>
  </si>
  <si>
    <t>Default_20260925_100952_P_2_T_295.txt</t>
  </si>
  <si>
    <t>Default_20260925_101048_P_3_T_295.txt</t>
  </si>
  <si>
    <t>Default_20260925_101143_P_2_T_295.txt</t>
  </si>
  <si>
    <t>Default_20260925_101934_P_3_T_295.txt</t>
  </si>
  <si>
    <t>Default_20260925_102029_P_3_T_295.txt</t>
  </si>
  <si>
    <t>Default_20260925_102124_P_3_T_295.txt</t>
  </si>
  <si>
    <t>Ind Dev</t>
  </si>
  <si>
    <t>Temp</t>
  </si>
  <si>
    <t>Standard Deviation</t>
  </si>
  <si>
    <t>Average</t>
  </si>
  <si>
    <t>Dev</t>
  </si>
  <si>
    <t>-1 C</t>
  </si>
  <si>
    <t>5 C</t>
  </si>
  <si>
    <t>20 C</t>
  </si>
  <si>
    <t>25 C</t>
  </si>
  <si>
    <t>Lit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</si>
</sst>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</xdr:row>
      <xdr:rowOff>0</xdr:rowOff>
    </xdr:from>
    <xdr:to>
      <xdr:col>24</xdr:col>
      <xdr:colOff>711200</xdr:colOff>
      <xdr:row>34</xdr:row>
      <xdr:rowOff>78649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18989F-483E-4BD0-4A6F-B8E76241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0" y="1219200"/>
          <a:ext cx="7772400" cy="5768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EE2F-F590-5147-8E2F-08406EBBF8C4}">
  <dimension ref="A1:T44"/>
  <sheetViews>
    <sheetView tabSelected="1" zoomScale="65" workbookViewId="0">
      <selection activeCell="AB19" sqref="AB19"/>
    </sheetView>
  </sheetViews>
  <sheetFormatPr baseColWidth="10" defaultRowHeight="16" x14ac:dyDescent="0.2"/>
  <cols>
    <col min="17" max="17" width="16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61</v>
      </c>
      <c r="P1" t="s">
        <v>62</v>
      </c>
      <c r="Q1" t="s">
        <v>63</v>
      </c>
      <c r="R1" t="s">
        <v>64</v>
      </c>
      <c r="S1" t="s">
        <v>70</v>
      </c>
      <c r="T1" t="s">
        <v>65</v>
      </c>
    </row>
    <row r="2" spans="1:20" x14ac:dyDescent="0.2">
      <c r="A2" t="s">
        <v>14</v>
      </c>
      <c r="B2" t="s">
        <v>15</v>
      </c>
      <c r="C2">
        <v>0</v>
      </c>
      <c r="D2">
        <v>298.14999999999998</v>
      </c>
      <c r="E2" t="s">
        <v>16</v>
      </c>
      <c r="F2">
        <v>14.83</v>
      </c>
      <c r="G2">
        <v>0.3891</v>
      </c>
      <c r="H2">
        <v>8</v>
      </c>
      <c r="P2" s="1" t="s">
        <v>66</v>
      </c>
      <c r="Q2" s="2">
        <f>STDEV(H21:H26)/AVERAGE(H21:H26)</f>
        <v>1.0950521791034031E-3</v>
      </c>
      <c r="R2" cm="1">
        <f t="array" ref="R2">AVERAGE(ABS(_xlfn.VSTACK(H21:H26)))</f>
        <v>2.4953333333333334</v>
      </c>
      <c r="S2">
        <v>2.6989999999999998</v>
      </c>
      <c r="T2" s="2" cm="1">
        <f t="array" ref="T2">AVERAGE(ABS(_xlfn.VSTACK(H21:H26)-S2))/S2</f>
        <v>7.5460046930962033E-2</v>
      </c>
    </row>
    <row r="3" spans="1:20" x14ac:dyDescent="0.2">
      <c r="A3" t="s">
        <v>14</v>
      </c>
      <c r="B3" t="s">
        <v>17</v>
      </c>
      <c r="C3">
        <v>0</v>
      </c>
      <c r="D3">
        <v>298.14999999999998</v>
      </c>
      <c r="E3" t="s">
        <v>18</v>
      </c>
      <c r="F3">
        <v>24.89</v>
      </c>
      <c r="G3">
        <v>0.25469999999999998</v>
      </c>
      <c r="H3">
        <v>4.7670000000000003</v>
      </c>
      <c r="I3">
        <v>6.898E-2</v>
      </c>
      <c r="J3" t="s">
        <v>19</v>
      </c>
      <c r="K3">
        <v>28.39</v>
      </c>
      <c r="L3">
        <v>0.5</v>
      </c>
      <c r="O3" s="2" cm="1">
        <f t="array" ref="O3">_xlfn.IFS(D3=272.15, ABS(H3-$S$2)/$S$2, D3=278.15, ABS(H3-$S$3)/$S$3, D3=293.15, ABS(H3-$S$4)/$S$4, D3=298.15, ABS(H3-$S$5)/$S$5)</f>
        <v>2.1893017625212879E-2</v>
      </c>
      <c r="P3" t="s">
        <v>67</v>
      </c>
      <c r="Q3" s="2">
        <f>STDEV(H15:H20, H27:H32)/AVERAGE(H15:H20, H27:H32)</f>
        <v>1.0137254625042235E-2</v>
      </c>
      <c r="R3" cm="1">
        <f t="array" ref="R3">AVERAGE(ABS(_xlfn.VSTACK(H15:H20, H27:H32)))</f>
        <v>2.948</v>
      </c>
      <c r="S3">
        <v>3.1343000000000001</v>
      </c>
      <c r="T3" s="2" cm="1">
        <f t="array" ref="T3">AVERAGE(ABS(_xlfn.VSTACK(H15:H20, H27:H32)-S3))/S3</f>
        <v>5.9439109210988113E-2</v>
      </c>
    </row>
    <row r="4" spans="1:20" x14ac:dyDescent="0.2">
      <c r="A4" t="s">
        <v>14</v>
      </c>
      <c r="B4" t="s">
        <v>20</v>
      </c>
      <c r="C4">
        <v>0</v>
      </c>
      <c r="D4">
        <v>298.14999999999998</v>
      </c>
      <c r="E4" t="s">
        <v>18</v>
      </c>
      <c r="F4">
        <v>24.9</v>
      </c>
      <c r="G4">
        <v>0.25469999999999998</v>
      </c>
      <c r="H4">
        <v>4.7649999999999997</v>
      </c>
      <c r="I4">
        <v>6.8919999999999995E-2</v>
      </c>
      <c r="J4" t="s">
        <v>19</v>
      </c>
      <c r="K4">
        <v>28.39</v>
      </c>
      <c r="L4">
        <v>0.5</v>
      </c>
      <c r="O4" s="2" cm="1">
        <f t="array" ref="O4">_xlfn.IFS(D4=272.15, ABS(H4-$S$2)/$S$2, D4=278.15, ABS(H4-$S$3)/$S$3, D4=293.15, ABS(H4-$S$4)/$S$4, D4=298.15, ABS(H4-$S$5)/$S$5)</f>
        <v>2.2303383466360398E-2</v>
      </c>
      <c r="P4" t="s">
        <v>68</v>
      </c>
      <c r="Q4" s="2">
        <f>STDEV(H9:H14,H33:H38)/AVERAGE(H9:H14,H33:H38)</f>
        <v>1.0885640700389899E-2</v>
      </c>
      <c r="R4" cm="1">
        <f t="array" ref="R4">AVERAGE(ABS(_xlfn.VSTACK(H9:H14,H33:H38)))</f>
        <v>4.163166666666668</v>
      </c>
      <c r="S4">
        <v>4.4306999999999999</v>
      </c>
      <c r="T4" s="2" cm="1">
        <f t="array" ref="T4">AVERAGE(ABS(_xlfn.VSTACK(H9:H14,H33:H38)-S4))/S4</f>
        <v>6.0381730501576102E-2</v>
      </c>
    </row>
    <row r="5" spans="1:20" x14ac:dyDescent="0.2">
      <c r="A5" t="s">
        <v>14</v>
      </c>
      <c r="B5" t="s">
        <v>21</v>
      </c>
      <c r="C5">
        <v>0</v>
      </c>
      <c r="D5">
        <v>298.14999999999998</v>
      </c>
      <c r="E5" t="s">
        <v>18</v>
      </c>
      <c r="F5">
        <v>24.9</v>
      </c>
      <c r="G5">
        <v>0.25569999999999998</v>
      </c>
      <c r="H5">
        <v>4.7649999999999997</v>
      </c>
      <c r="I5">
        <v>6.9199999999999998E-2</v>
      </c>
      <c r="J5" t="s">
        <v>19</v>
      </c>
      <c r="K5">
        <v>28.39</v>
      </c>
      <c r="L5">
        <v>0.5</v>
      </c>
      <c r="O5" s="2" cm="1">
        <f t="array" ref="O5">_xlfn.IFS(D5=272.15, ABS(H5-$S$2)/$S$2, D5=278.15, ABS(H5-$S$3)/$S$3, D5=293.15, ABS(H5-$S$4)/$S$4, D5=298.15, ABS(H5-$S$5)/$S$5)</f>
        <v>2.2303383466360398E-2</v>
      </c>
      <c r="P5" t="s">
        <v>69</v>
      </c>
      <c r="Q5" s="2">
        <f>STDEV(H3:H8,H39:H44)/AVERAGE(H3:H8,H39:H44)</f>
        <v>1.819158968215219E-2</v>
      </c>
      <c r="R5" cm="1">
        <f t="array" ref="R5">AVERAGE(ABS(_xlfn.VSTACK(H3:H8,H39:H44)))</f>
        <v>4.8466666666666676</v>
      </c>
      <c r="S5">
        <v>4.8737000000000004</v>
      </c>
      <c r="T5" s="2" cm="1">
        <f t="array" ref="T5">AVERAGE(ABS(_xlfn.VSTACK(H3:H8,H39:H44)-S5))/S5</f>
        <v>1.7303759635047926E-2</v>
      </c>
    </row>
    <row r="6" spans="1:20" x14ac:dyDescent="0.2">
      <c r="A6" t="s">
        <v>14</v>
      </c>
      <c r="B6" t="s">
        <v>22</v>
      </c>
      <c r="C6">
        <v>0</v>
      </c>
      <c r="D6">
        <v>298.14999999999998</v>
      </c>
      <c r="E6" t="s">
        <v>18</v>
      </c>
      <c r="F6">
        <v>24.93</v>
      </c>
      <c r="G6">
        <v>0.25629999999999997</v>
      </c>
      <c r="H6">
        <v>4.7590000000000003</v>
      </c>
      <c r="I6">
        <v>6.9190000000000002E-2</v>
      </c>
      <c r="J6" t="s">
        <v>19</v>
      </c>
      <c r="K6">
        <v>28.39</v>
      </c>
      <c r="L6">
        <v>0.5</v>
      </c>
      <c r="O6" s="2" cm="1">
        <f t="array" ref="O6">_xlfn.IFS(D6=272.15, ABS(H6-$S$2)/$S$2, D6=278.15, ABS(H6-$S$3)/$S$3, D6=293.15, ABS(H6-$S$4)/$S$4, D6=298.15, ABS(H6-$S$5)/$S$5)</f>
        <v>2.3534480989802414E-2</v>
      </c>
    </row>
    <row r="7" spans="1:20" x14ac:dyDescent="0.2">
      <c r="A7" t="s">
        <v>14</v>
      </c>
      <c r="B7" t="s">
        <v>23</v>
      </c>
      <c r="C7">
        <v>0</v>
      </c>
      <c r="D7">
        <v>298.14999999999998</v>
      </c>
      <c r="E7" t="s">
        <v>18</v>
      </c>
      <c r="F7">
        <v>24.93</v>
      </c>
      <c r="G7">
        <v>0.2586</v>
      </c>
      <c r="H7">
        <v>4.7590000000000003</v>
      </c>
      <c r="I7">
        <v>6.9809999999999997E-2</v>
      </c>
      <c r="J7" t="s">
        <v>19</v>
      </c>
      <c r="K7">
        <v>28.39</v>
      </c>
      <c r="L7">
        <v>0.5</v>
      </c>
      <c r="O7" s="2" cm="1">
        <f t="array" ref="O7">_xlfn.IFS(D7=272.15, ABS(H7-$S$2)/$S$2, D7=278.15, ABS(H7-$S$3)/$S$3, D7=293.15, ABS(H7-$S$4)/$S$4, D7=298.15, ABS(H7-$S$5)/$S$5)</f>
        <v>2.3534480989802414E-2</v>
      </c>
    </row>
    <row r="8" spans="1:20" x14ac:dyDescent="0.2">
      <c r="A8" t="s">
        <v>14</v>
      </c>
      <c r="B8" t="s">
        <v>24</v>
      </c>
      <c r="C8">
        <v>0</v>
      </c>
      <c r="D8">
        <v>298.14999999999998</v>
      </c>
      <c r="E8" t="s">
        <v>18</v>
      </c>
      <c r="F8">
        <v>24.93</v>
      </c>
      <c r="G8">
        <v>0.25690000000000002</v>
      </c>
      <c r="H8">
        <v>4.7590000000000003</v>
      </c>
      <c r="I8">
        <v>6.9349999999999995E-2</v>
      </c>
      <c r="J8" t="s">
        <v>19</v>
      </c>
      <c r="K8">
        <v>28.39</v>
      </c>
      <c r="L8">
        <v>0.5</v>
      </c>
      <c r="O8" s="2" cm="1">
        <f t="array" ref="O8">_xlfn.IFS(D8=272.15, ABS(H8-$S$2)/$S$2, D8=278.15, ABS(H8-$S$3)/$S$3, D8=293.15, ABS(H8-$S$4)/$S$4, D8=298.15, ABS(H8-$S$5)/$S$5)</f>
        <v>2.3534480989802414E-2</v>
      </c>
    </row>
    <row r="9" spans="1:20" x14ac:dyDescent="0.2">
      <c r="A9" t="s">
        <v>14</v>
      </c>
      <c r="B9" t="s">
        <v>25</v>
      </c>
      <c r="C9">
        <v>0</v>
      </c>
      <c r="D9">
        <v>293.14999999999998</v>
      </c>
      <c r="E9" t="s">
        <v>18</v>
      </c>
      <c r="F9">
        <v>28.72</v>
      </c>
      <c r="G9">
        <v>0.4234</v>
      </c>
      <c r="H9">
        <v>4.1310000000000002</v>
      </c>
      <c r="I9">
        <v>8.6120000000000002E-2</v>
      </c>
      <c r="J9" t="s">
        <v>19</v>
      </c>
      <c r="K9">
        <v>28.39</v>
      </c>
      <c r="L9">
        <v>0.5</v>
      </c>
      <c r="O9" s="2" cm="1">
        <f t="array" ref="O9">_xlfn.IFS(D9=272.15, ABS(H9-$S$2)/$S$2, D9=278.15, ABS(H9-$S$3)/$S$3, D9=293.15, ABS(H9-$S$4)/$S$4, D9=298.15, ABS(H9-$S$5)/$S$5)</f>
        <v>6.7641681901279629E-2</v>
      </c>
    </row>
    <row r="10" spans="1:20" x14ac:dyDescent="0.2">
      <c r="A10" t="s">
        <v>14</v>
      </c>
      <c r="B10" t="s">
        <v>26</v>
      </c>
      <c r="C10">
        <v>0</v>
      </c>
      <c r="D10">
        <v>293.14999999999998</v>
      </c>
      <c r="E10" t="s">
        <v>18</v>
      </c>
      <c r="F10">
        <v>28.74</v>
      </c>
      <c r="G10">
        <v>0.39379999999999998</v>
      </c>
      <c r="H10">
        <v>4.1280000000000001</v>
      </c>
      <c r="I10">
        <v>7.9990000000000006E-2</v>
      </c>
      <c r="J10" t="s">
        <v>19</v>
      </c>
      <c r="K10">
        <v>28.39</v>
      </c>
      <c r="L10">
        <v>0.5</v>
      </c>
      <c r="O10" s="2" cm="1">
        <f t="array" ref="O10">_xlfn.IFS(D10=272.15, ABS(H10-$S$2)/$S$2, D10=278.15, ABS(H10-$S$3)/$S$3, D10=293.15, ABS(H10-$S$4)/$S$4, D10=298.15, ABS(H10-$S$5)/$S$5)</f>
        <v>6.8318775814205382E-2</v>
      </c>
    </row>
    <row r="11" spans="1:20" x14ac:dyDescent="0.2">
      <c r="A11" t="s">
        <v>14</v>
      </c>
      <c r="B11" t="s">
        <v>27</v>
      </c>
      <c r="C11">
        <v>0</v>
      </c>
      <c r="D11">
        <v>293.14999999999998</v>
      </c>
      <c r="E11" t="s">
        <v>18</v>
      </c>
      <c r="F11">
        <v>28.76</v>
      </c>
      <c r="G11">
        <v>0.39400000000000002</v>
      </c>
      <c r="H11">
        <v>4.125</v>
      </c>
      <c r="I11">
        <v>7.9920000000000005E-2</v>
      </c>
      <c r="J11" t="s">
        <v>19</v>
      </c>
      <c r="K11">
        <v>28.39</v>
      </c>
      <c r="L11">
        <v>0.5</v>
      </c>
      <c r="O11" s="2" cm="1">
        <f t="array" ref="O11">_xlfn.IFS(D11=272.15, ABS(H11-$S$2)/$S$2, D11=278.15, ABS(H11-$S$3)/$S$3, D11=293.15, ABS(H11-$S$4)/$S$4, D11=298.15, ABS(H11-$S$5)/$S$5)</f>
        <v>6.8995869727131121E-2</v>
      </c>
    </row>
    <row r="12" spans="1:20" x14ac:dyDescent="0.2">
      <c r="A12" t="s">
        <v>14</v>
      </c>
      <c r="B12" t="s">
        <v>28</v>
      </c>
      <c r="C12">
        <v>0</v>
      </c>
      <c r="D12">
        <v>293.14999999999998</v>
      </c>
      <c r="E12" t="s">
        <v>18</v>
      </c>
      <c r="F12">
        <v>28.84</v>
      </c>
      <c r="G12">
        <v>0.38750000000000001</v>
      </c>
      <c r="H12">
        <v>4.1139999999999999</v>
      </c>
      <c r="I12">
        <v>7.8170000000000003E-2</v>
      </c>
      <c r="J12" t="s">
        <v>19</v>
      </c>
      <c r="K12">
        <v>28.39</v>
      </c>
      <c r="L12">
        <v>0.5</v>
      </c>
      <c r="O12" s="2" cm="1">
        <f t="array" ref="O12">_xlfn.IFS(D12=272.15, ABS(H12-$S$2)/$S$2, D12=278.15, ABS(H12-$S$3)/$S$3, D12=293.15, ABS(H12-$S$4)/$S$4, D12=298.15, ABS(H12-$S$5)/$S$5)</f>
        <v>7.1478547407858806E-2</v>
      </c>
    </row>
    <row r="13" spans="1:20" x14ac:dyDescent="0.2">
      <c r="A13" t="s">
        <v>14</v>
      </c>
      <c r="B13" t="s">
        <v>29</v>
      </c>
      <c r="C13">
        <v>0</v>
      </c>
      <c r="D13">
        <v>293.14999999999998</v>
      </c>
      <c r="E13" t="s">
        <v>18</v>
      </c>
      <c r="F13">
        <v>28.84</v>
      </c>
      <c r="G13">
        <v>0.39419999999999999</v>
      </c>
      <c r="H13">
        <v>4.1139999999999999</v>
      </c>
      <c r="I13">
        <v>7.9519999999999993E-2</v>
      </c>
      <c r="J13" t="s">
        <v>19</v>
      </c>
      <c r="K13">
        <v>28.39</v>
      </c>
      <c r="L13">
        <v>0.5</v>
      </c>
      <c r="O13" s="2" cm="1">
        <f t="array" ref="O13">_xlfn.IFS(D13=272.15, ABS(H13-$S$2)/$S$2, D13=278.15, ABS(H13-$S$3)/$S$3, D13=293.15, ABS(H13-$S$4)/$S$4, D13=298.15, ABS(H13-$S$5)/$S$5)</f>
        <v>7.1478547407858806E-2</v>
      </c>
    </row>
    <row r="14" spans="1:20" x14ac:dyDescent="0.2">
      <c r="A14" t="s">
        <v>14</v>
      </c>
      <c r="B14" t="s">
        <v>30</v>
      </c>
      <c r="C14">
        <v>0</v>
      </c>
      <c r="D14">
        <v>293.14999999999998</v>
      </c>
      <c r="E14" t="s">
        <v>18</v>
      </c>
      <c r="F14">
        <v>28.85</v>
      </c>
      <c r="G14">
        <v>0.40079999999999999</v>
      </c>
      <c r="H14">
        <v>4.1120000000000001</v>
      </c>
      <c r="I14">
        <v>8.0790000000000001E-2</v>
      </c>
      <c r="J14" t="s">
        <v>19</v>
      </c>
      <c r="K14">
        <v>28.39</v>
      </c>
      <c r="L14">
        <v>0.5</v>
      </c>
      <c r="O14" s="2" cm="1">
        <f t="array" ref="O14">_xlfn.IFS(D14=272.15, ABS(H14-$S$2)/$S$2, D14=278.15, ABS(H14-$S$3)/$S$3, D14=293.15, ABS(H14-$S$4)/$S$4, D14=298.15, ABS(H14-$S$5)/$S$5)</f>
        <v>7.1929943349809233E-2</v>
      </c>
    </row>
    <row r="15" spans="1:20" x14ac:dyDescent="0.2">
      <c r="A15" t="s">
        <v>14</v>
      </c>
      <c r="B15" t="s">
        <v>31</v>
      </c>
      <c r="C15">
        <v>0</v>
      </c>
      <c r="D15">
        <v>278.14999999999998</v>
      </c>
      <c r="E15" t="s">
        <v>18</v>
      </c>
      <c r="F15">
        <v>40.33</v>
      </c>
      <c r="G15">
        <v>0.2848</v>
      </c>
      <c r="H15">
        <v>2.9420000000000002</v>
      </c>
      <c r="I15">
        <v>2.938E-2</v>
      </c>
      <c r="J15" t="s">
        <v>19</v>
      </c>
      <c r="K15">
        <v>28.39</v>
      </c>
      <c r="L15">
        <v>0.5</v>
      </c>
      <c r="O15" s="2" cm="1">
        <f t="array" ref="O15">_xlfn.IFS(D15=272.15, ABS(H15-$S$2)/$S$2, D15=278.15, ABS(H15-$S$3)/$S$3, D15=293.15, ABS(H15-$S$4)/$S$4, D15=298.15, ABS(H15-$S$5)/$S$5)</f>
        <v>6.1353412245158383E-2</v>
      </c>
    </row>
    <row r="16" spans="1:20" x14ac:dyDescent="0.2">
      <c r="A16" t="s">
        <v>14</v>
      </c>
      <c r="B16" t="s">
        <v>32</v>
      </c>
      <c r="C16">
        <v>0</v>
      </c>
      <c r="D16">
        <v>278.14999999999998</v>
      </c>
      <c r="E16" t="s">
        <v>18</v>
      </c>
      <c r="F16">
        <v>40.35</v>
      </c>
      <c r="G16">
        <v>0.31900000000000001</v>
      </c>
      <c r="H16">
        <v>2.94</v>
      </c>
      <c r="I16">
        <v>3.2870000000000003E-2</v>
      </c>
      <c r="J16" t="s">
        <v>19</v>
      </c>
      <c r="K16">
        <v>28.39</v>
      </c>
      <c r="L16">
        <v>0.5</v>
      </c>
      <c r="O16" s="2" cm="1">
        <f t="array" ref="O16">_xlfn.IFS(D16=272.15, ABS(H16-$S$2)/$S$2, D16=278.15, ABS(H16-$S$3)/$S$3, D16=293.15, ABS(H16-$S$4)/$S$4, D16=298.15, ABS(H16-$S$5)/$S$5)</f>
        <v>6.1991513256548551E-2</v>
      </c>
    </row>
    <row r="17" spans="1:15" x14ac:dyDescent="0.2">
      <c r="A17" t="s">
        <v>14</v>
      </c>
      <c r="B17" t="s">
        <v>33</v>
      </c>
      <c r="C17">
        <v>0</v>
      </c>
      <c r="D17">
        <v>278.14999999999998</v>
      </c>
      <c r="E17" t="s">
        <v>18</v>
      </c>
      <c r="F17">
        <v>40.369999999999997</v>
      </c>
      <c r="G17">
        <v>0.2833</v>
      </c>
      <c r="H17">
        <v>2.9390000000000001</v>
      </c>
      <c r="I17">
        <v>2.9170000000000001E-2</v>
      </c>
      <c r="J17" t="s">
        <v>19</v>
      </c>
      <c r="K17">
        <v>28.39</v>
      </c>
      <c r="L17">
        <v>0.5</v>
      </c>
      <c r="O17" s="2" cm="1">
        <f t="array" ref="O17">_xlfn.IFS(D17=272.15, ABS(H17-$S$2)/$S$2, D17=278.15, ABS(H17-$S$3)/$S$3, D17=293.15, ABS(H17-$S$4)/$S$4, D17=298.15, ABS(H17-$S$5)/$S$5)</f>
        <v>6.2310563762243573E-2</v>
      </c>
    </row>
    <row r="18" spans="1:15" x14ac:dyDescent="0.2">
      <c r="A18" t="s">
        <v>14</v>
      </c>
      <c r="B18" t="s">
        <v>34</v>
      </c>
      <c r="C18">
        <v>0</v>
      </c>
      <c r="D18">
        <v>278.14999999999998</v>
      </c>
      <c r="E18" t="s">
        <v>18</v>
      </c>
      <c r="F18">
        <v>40.42</v>
      </c>
      <c r="G18">
        <v>0.29189999999999999</v>
      </c>
      <c r="H18">
        <v>2.9350000000000001</v>
      </c>
      <c r="I18">
        <v>2.998E-2</v>
      </c>
      <c r="J18" t="s">
        <v>19</v>
      </c>
      <c r="K18">
        <v>28.39</v>
      </c>
      <c r="L18">
        <v>0.5</v>
      </c>
      <c r="O18" s="2" cm="1">
        <f t="array" ref="O18">_xlfn.IFS(D18=272.15, ABS(H18-$S$2)/$S$2, D18=278.15, ABS(H18-$S$3)/$S$3, D18=293.15, ABS(H18-$S$4)/$S$4, D18=298.15, ABS(H18-$S$5)/$S$5)</f>
        <v>6.3586765785023772E-2</v>
      </c>
    </row>
    <row r="19" spans="1:15" x14ac:dyDescent="0.2">
      <c r="A19" t="s">
        <v>14</v>
      </c>
      <c r="B19" t="s">
        <v>35</v>
      </c>
      <c r="C19">
        <v>0</v>
      </c>
      <c r="D19">
        <v>278.14999999999998</v>
      </c>
      <c r="E19" t="s">
        <v>18</v>
      </c>
      <c r="F19">
        <v>40.42</v>
      </c>
      <c r="G19">
        <v>0.29099999999999998</v>
      </c>
      <c r="H19">
        <v>2.9350000000000001</v>
      </c>
      <c r="I19">
        <v>2.988E-2</v>
      </c>
      <c r="J19" t="s">
        <v>19</v>
      </c>
      <c r="K19">
        <v>28.39</v>
      </c>
      <c r="L19">
        <v>0.5</v>
      </c>
      <c r="O19" s="2" cm="1">
        <f t="array" ref="O19">_xlfn.IFS(D19=272.15, ABS(H19-$S$2)/$S$2, D19=278.15, ABS(H19-$S$3)/$S$3, D19=293.15, ABS(H19-$S$4)/$S$4, D19=298.15, ABS(H19-$S$5)/$S$5)</f>
        <v>6.3586765785023772E-2</v>
      </c>
    </row>
    <row r="20" spans="1:15" x14ac:dyDescent="0.2">
      <c r="A20" t="s">
        <v>14</v>
      </c>
      <c r="B20" t="s">
        <v>36</v>
      </c>
      <c r="C20">
        <v>0</v>
      </c>
      <c r="D20">
        <v>278.14999999999998</v>
      </c>
      <c r="E20" t="s">
        <v>18</v>
      </c>
      <c r="F20">
        <v>40.43</v>
      </c>
      <c r="G20">
        <v>0.29310000000000003</v>
      </c>
      <c r="H20">
        <v>2.9340000000000002</v>
      </c>
      <c r="I20">
        <v>3.0089999999999999E-2</v>
      </c>
      <c r="J20" t="s">
        <v>19</v>
      </c>
      <c r="K20">
        <v>28.39</v>
      </c>
      <c r="L20">
        <v>0.5</v>
      </c>
      <c r="O20" s="2" cm="1">
        <f t="array" ref="O20">_xlfn.IFS(D20=272.15, ABS(H20-$S$2)/$S$2, D20=278.15, ABS(H20-$S$3)/$S$3, D20=293.15, ABS(H20-$S$4)/$S$4, D20=298.15, ABS(H20-$S$5)/$S$5)</f>
        <v>6.39058162907188E-2</v>
      </c>
    </row>
    <row r="21" spans="1:15" x14ac:dyDescent="0.2">
      <c r="A21" t="s">
        <v>14</v>
      </c>
      <c r="B21" t="s">
        <v>37</v>
      </c>
      <c r="C21">
        <v>0</v>
      </c>
      <c r="D21">
        <v>272.14999999999998</v>
      </c>
      <c r="E21" t="s">
        <v>18</v>
      </c>
      <c r="F21">
        <v>47.47</v>
      </c>
      <c r="G21">
        <v>0.29699999999999999</v>
      </c>
      <c r="H21">
        <v>2.4990000000000001</v>
      </c>
      <c r="I21">
        <v>2.2110000000000001E-2</v>
      </c>
      <c r="J21" t="s">
        <v>19</v>
      </c>
      <c r="K21">
        <v>28.39</v>
      </c>
      <c r="L21">
        <v>0.5</v>
      </c>
      <c r="O21" s="2" cm="1">
        <f t="array" ref="O21">_xlfn.IFS(D21=272.15, ABS(H21-$S$2)/$S$2, D21=278.15, ABS(H21-$S$3)/$S$3, D21=293.15, ABS(H21-$S$4)/$S$4, D21=298.15, ABS(H21-$S$5)/$S$5)</f>
        <v>7.4101519081141071E-2</v>
      </c>
    </row>
    <row r="22" spans="1:15" x14ac:dyDescent="0.2">
      <c r="A22" t="s">
        <v>14</v>
      </c>
      <c r="B22" t="s">
        <v>38</v>
      </c>
      <c r="C22">
        <v>0</v>
      </c>
      <c r="D22">
        <v>272.14999999999998</v>
      </c>
      <c r="E22" t="s">
        <v>18</v>
      </c>
      <c r="F22">
        <v>47.5</v>
      </c>
      <c r="G22">
        <v>0.2979</v>
      </c>
      <c r="H22">
        <v>2.4980000000000002</v>
      </c>
      <c r="I22">
        <v>2.215E-2</v>
      </c>
      <c r="J22" t="s">
        <v>19</v>
      </c>
      <c r="K22">
        <v>28.39</v>
      </c>
      <c r="L22">
        <v>0.5</v>
      </c>
      <c r="O22" s="2" cm="1">
        <f t="array" ref="O22">_xlfn.IFS(D22=272.15, ABS(H22-$S$2)/$S$2, D22=278.15, ABS(H22-$S$3)/$S$3, D22=293.15, ABS(H22-$S$4)/$S$4, D22=298.15, ABS(H22-$S$5)/$S$5)</f>
        <v>7.4472026676546732E-2</v>
      </c>
    </row>
    <row r="23" spans="1:15" x14ac:dyDescent="0.2">
      <c r="A23" t="s">
        <v>14</v>
      </c>
      <c r="B23" t="s">
        <v>39</v>
      </c>
      <c r="C23">
        <v>0</v>
      </c>
      <c r="D23">
        <v>272.14999999999998</v>
      </c>
      <c r="E23" t="s">
        <v>18</v>
      </c>
      <c r="F23">
        <v>47.53</v>
      </c>
      <c r="G23">
        <v>0.30109999999999998</v>
      </c>
      <c r="H23">
        <v>2.496</v>
      </c>
      <c r="I23">
        <v>2.2360000000000001E-2</v>
      </c>
      <c r="J23" t="s">
        <v>19</v>
      </c>
      <c r="K23">
        <v>28.39</v>
      </c>
      <c r="L23">
        <v>0.5</v>
      </c>
      <c r="O23" s="2" cm="1">
        <f t="array" ref="O23">_xlfn.IFS(D23=272.15, ABS(H23-$S$2)/$S$2, D23=278.15, ABS(H23-$S$3)/$S$3, D23=293.15, ABS(H23-$S$4)/$S$4, D23=298.15, ABS(H23-$S$5)/$S$5)</f>
        <v>7.5213041867358235E-2</v>
      </c>
    </row>
    <row r="24" spans="1:15" x14ac:dyDescent="0.2">
      <c r="A24" t="s">
        <v>14</v>
      </c>
      <c r="B24" t="s">
        <v>40</v>
      </c>
      <c r="C24">
        <v>0</v>
      </c>
      <c r="D24">
        <v>272.14999999999998</v>
      </c>
      <c r="E24" t="s">
        <v>18</v>
      </c>
      <c r="F24">
        <v>47.58</v>
      </c>
      <c r="G24">
        <v>0.29649999999999999</v>
      </c>
      <c r="H24">
        <v>2.4929999999999999</v>
      </c>
      <c r="I24">
        <v>2.197E-2</v>
      </c>
      <c r="J24" t="s">
        <v>19</v>
      </c>
      <c r="K24">
        <v>28.39</v>
      </c>
      <c r="L24">
        <v>0.5</v>
      </c>
      <c r="O24" s="2" cm="1">
        <f t="array" ref="O24">_xlfn.IFS(D24=272.15, ABS(H24-$S$2)/$S$2, D24=278.15, ABS(H24-$S$3)/$S$3, D24=293.15, ABS(H24-$S$4)/$S$4, D24=298.15, ABS(H24-$S$5)/$S$5)</f>
        <v>7.6324564653575386E-2</v>
      </c>
    </row>
    <row r="25" spans="1:15" x14ac:dyDescent="0.2">
      <c r="A25" t="s">
        <v>14</v>
      </c>
      <c r="B25" t="s">
        <v>41</v>
      </c>
      <c r="C25">
        <v>0</v>
      </c>
      <c r="D25">
        <v>272.14999999999998</v>
      </c>
      <c r="E25" t="s">
        <v>18</v>
      </c>
      <c r="F25">
        <v>47.58</v>
      </c>
      <c r="G25">
        <v>0.29599999999999999</v>
      </c>
      <c r="H25">
        <v>2.4929999999999999</v>
      </c>
      <c r="I25">
        <v>2.1940000000000001E-2</v>
      </c>
      <c r="J25" t="s">
        <v>19</v>
      </c>
      <c r="K25">
        <v>28.39</v>
      </c>
      <c r="L25">
        <v>0.5</v>
      </c>
      <c r="O25" s="2" cm="1">
        <f t="array" ref="O25">_xlfn.IFS(D25=272.15, ABS(H25-$S$2)/$S$2, D25=278.15, ABS(H25-$S$3)/$S$3, D25=293.15, ABS(H25-$S$4)/$S$4, D25=298.15, ABS(H25-$S$5)/$S$5)</f>
        <v>7.6324564653575386E-2</v>
      </c>
    </row>
    <row r="26" spans="1:15" x14ac:dyDescent="0.2">
      <c r="A26" t="s">
        <v>14</v>
      </c>
      <c r="B26" t="s">
        <v>42</v>
      </c>
      <c r="C26">
        <v>0</v>
      </c>
      <c r="D26">
        <v>272.14999999999998</v>
      </c>
      <c r="E26" t="s">
        <v>18</v>
      </c>
      <c r="F26">
        <v>47.59</v>
      </c>
      <c r="G26">
        <v>0.29820000000000002</v>
      </c>
      <c r="H26">
        <v>2.4929999999999999</v>
      </c>
      <c r="I26">
        <v>2.2089999999999999E-2</v>
      </c>
      <c r="J26" t="s">
        <v>19</v>
      </c>
      <c r="K26">
        <v>28.39</v>
      </c>
      <c r="L26">
        <v>0.5</v>
      </c>
      <c r="O26" s="2" cm="1">
        <f t="array" ref="O26">_xlfn.IFS(D26=272.15, ABS(H26-$S$2)/$S$2, D26=278.15, ABS(H26-$S$3)/$S$3, D26=293.15, ABS(H26-$S$4)/$S$4, D26=298.15, ABS(H26-$S$5)/$S$5)</f>
        <v>7.6324564653575386E-2</v>
      </c>
    </row>
    <row r="27" spans="1:15" x14ac:dyDescent="0.2">
      <c r="A27" t="s">
        <v>14</v>
      </c>
      <c r="B27" t="s">
        <v>43</v>
      </c>
      <c r="C27">
        <v>0</v>
      </c>
      <c r="D27">
        <v>278.14999999999998</v>
      </c>
      <c r="E27" t="s">
        <v>18</v>
      </c>
      <c r="F27">
        <v>40.65</v>
      </c>
      <c r="G27">
        <v>0.35749999999999998</v>
      </c>
      <c r="H27">
        <v>2.919</v>
      </c>
      <c r="I27">
        <v>3.6299999999999999E-2</v>
      </c>
      <c r="J27" t="s">
        <v>19</v>
      </c>
      <c r="K27">
        <v>28.39</v>
      </c>
      <c r="L27">
        <v>0.5</v>
      </c>
      <c r="O27" s="2" cm="1">
        <f t="array" ref="O27">_xlfn.IFS(D27=272.15, ABS(H27-$S$2)/$S$2, D27=278.15, ABS(H27-$S$3)/$S$3, D27=293.15, ABS(H27-$S$4)/$S$4, D27=298.15, ABS(H27-$S$5)/$S$5)</f>
        <v>6.8691573876144607E-2</v>
      </c>
    </row>
    <row r="28" spans="1:15" x14ac:dyDescent="0.2">
      <c r="A28" t="s">
        <v>14</v>
      </c>
      <c r="B28" t="s">
        <v>44</v>
      </c>
      <c r="C28">
        <v>0</v>
      </c>
      <c r="D28">
        <v>278.14999999999998</v>
      </c>
      <c r="E28" t="s">
        <v>18</v>
      </c>
      <c r="F28">
        <v>40.619999999999997</v>
      </c>
      <c r="G28">
        <v>0.3594</v>
      </c>
      <c r="H28">
        <v>2.9209999999999998</v>
      </c>
      <c r="I28">
        <v>3.6549999999999999E-2</v>
      </c>
      <c r="J28" t="s">
        <v>19</v>
      </c>
      <c r="K28">
        <v>28.39</v>
      </c>
      <c r="L28">
        <v>0.5</v>
      </c>
      <c r="O28" s="2" cm="1">
        <f t="array" ref="O28">_xlfn.IFS(D28=272.15, ABS(H28-$S$2)/$S$2, D28=278.15, ABS(H28-$S$3)/$S$3, D28=293.15, ABS(H28-$S$4)/$S$4, D28=298.15, ABS(H28-$S$5)/$S$5)</f>
        <v>6.8053472864754577E-2</v>
      </c>
    </row>
    <row r="29" spans="1:15" x14ac:dyDescent="0.2">
      <c r="A29" t="s">
        <v>14</v>
      </c>
      <c r="B29" t="s">
        <v>45</v>
      </c>
      <c r="C29">
        <v>0</v>
      </c>
      <c r="D29">
        <v>278.14999999999998</v>
      </c>
      <c r="E29" t="s">
        <v>18</v>
      </c>
      <c r="F29">
        <v>40.590000000000003</v>
      </c>
      <c r="G29">
        <v>0.35239999999999999</v>
      </c>
      <c r="H29">
        <v>2.923</v>
      </c>
      <c r="I29">
        <v>3.5889999999999998E-2</v>
      </c>
      <c r="J29" t="s">
        <v>19</v>
      </c>
      <c r="K29">
        <v>28.39</v>
      </c>
      <c r="L29">
        <v>0.5</v>
      </c>
      <c r="O29" s="2" cm="1">
        <f t="array" ref="O29">_xlfn.IFS(D29=272.15, ABS(H29-$S$2)/$S$2, D29=278.15, ABS(H29-$S$3)/$S$3, D29=293.15, ABS(H29-$S$4)/$S$4, D29=298.15, ABS(H29-$S$5)/$S$5)</f>
        <v>6.7415371853364395E-2</v>
      </c>
    </row>
    <row r="30" spans="1:15" x14ac:dyDescent="0.2">
      <c r="A30" t="s">
        <v>14</v>
      </c>
      <c r="B30" t="s">
        <v>46</v>
      </c>
      <c r="C30">
        <v>0</v>
      </c>
      <c r="D30">
        <v>278.14999999999998</v>
      </c>
      <c r="E30" t="s">
        <v>18</v>
      </c>
      <c r="F30">
        <v>39.61</v>
      </c>
      <c r="G30">
        <v>0.27339999999999998</v>
      </c>
      <c r="H30">
        <v>2.9950000000000001</v>
      </c>
      <c r="I30">
        <v>2.9239999999999999E-2</v>
      </c>
      <c r="J30" t="s">
        <v>19</v>
      </c>
      <c r="K30">
        <v>28.39</v>
      </c>
      <c r="L30">
        <v>0.5</v>
      </c>
      <c r="O30" s="2" cm="1">
        <f t="array" ref="O30">_xlfn.IFS(D30=272.15, ABS(H30-$S$2)/$S$2, D30=278.15, ABS(H30-$S$3)/$S$3, D30=293.15, ABS(H30-$S$4)/$S$4, D30=298.15, ABS(H30-$S$5)/$S$5)</f>
        <v>4.444373544332067E-2</v>
      </c>
    </row>
    <row r="31" spans="1:15" x14ac:dyDescent="0.2">
      <c r="A31" t="s">
        <v>14</v>
      </c>
      <c r="B31" t="s">
        <v>47</v>
      </c>
      <c r="C31">
        <v>0</v>
      </c>
      <c r="D31">
        <v>278.14999999999998</v>
      </c>
      <c r="E31" t="s">
        <v>18</v>
      </c>
      <c r="F31">
        <v>39.590000000000003</v>
      </c>
      <c r="G31">
        <v>0.31580000000000003</v>
      </c>
      <c r="H31">
        <v>2.9969999999999999</v>
      </c>
      <c r="I31">
        <v>3.381E-2</v>
      </c>
      <c r="J31" t="s">
        <v>19</v>
      </c>
      <c r="K31">
        <v>28.39</v>
      </c>
      <c r="L31">
        <v>0.5</v>
      </c>
      <c r="O31" s="2" cm="1">
        <f t="array" ref="O31">_xlfn.IFS(D31=272.15, ABS(H31-$S$2)/$S$2, D31=278.15, ABS(H31-$S$3)/$S$3, D31=293.15, ABS(H31-$S$4)/$S$4, D31=298.15, ABS(H31-$S$5)/$S$5)</f>
        <v>4.380563443193064E-2</v>
      </c>
    </row>
    <row r="32" spans="1:15" x14ac:dyDescent="0.2">
      <c r="A32" t="s">
        <v>14</v>
      </c>
      <c r="B32" t="s">
        <v>48</v>
      </c>
      <c r="C32">
        <v>0</v>
      </c>
      <c r="D32">
        <v>278.14999999999998</v>
      </c>
      <c r="E32" t="s">
        <v>18</v>
      </c>
      <c r="F32">
        <v>39.6</v>
      </c>
      <c r="G32">
        <v>0.27860000000000001</v>
      </c>
      <c r="H32">
        <v>2.996</v>
      </c>
      <c r="I32">
        <v>2.981E-2</v>
      </c>
      <c r="J32" t="s">
        <v>19</v>
      </c>
      <c r="K32">
        <v>28.39</v>
      </c>
      <c r="L32">
        <v>0.5</v>
      </c>
      <c r="O32" s="2" cm="1">
        <f t="array" ref="O32">_xlfn.IFS(D32=272.15, ABS(H32-$S$2)/$S$2, D32=278.15, ABS(H32-$S$3)/$S$3, D32=293.15, ABS(H32-$S$4)/$S$4, D32=298.15, ABS(H32-$S$5)/$S$5)</f>
        <v>4.4124684937625655E-2</v>
      </c>
    </row>
    <row r="33" spans="1:15" x14ac:dyDescent="0.2">
      <c r="A33" t="s">
        <v>14</v>
      </c>
      <c r="B33" t="s">
        <v>49</v>
      </c>
      <c r="C33">
        <v>0</v>
      </c>
      <c r="D33">
        <v>293.14999999999998</v>
      </c>
      <c r="E33" t="s">
        <v>18</v>
      </c>
      <c r="F33">
        <v>28.31</v>
      </c>
      <c r="G33">
        <v>0.36830000000000002</v>
      </c>
      <c r="H33">
        <v>4.1909999999999998</v>
      </c>
      <c r="I33">
        <v>7.7100000000000002E-2</v>
      </c>
      <c r="J33" t="s">
        <v>19</v>
      </c>
      <c r="K33">
        <v>28.39</v>
      </c>
      <c r="L33">
        <v>0.5</v>
      </c>
      <c r="O33" s="2" cm="1">
        <f t="array" ref="O33">_xlfn.IFS(D33=272.15, ABS(H33-$S$2)/$S$2, D33=278.15, ABS(H33-$S$3)/$S$3, D33=293.15, ABS(H33-$S$4)/$S$4, D33=298.15, ABS(H33-$S$5)/$S$5)</f>
        <v>5.409980364276526E-2</v>
      </c>
    </row>
    <row r="34" spans="1:15" x14ac:dyDescent="0.2">
      <c r="A34" t="s">
        <v>14</v>
      </c>
      <c r="B34" t="s">
        <v>50</v>
      </c>
      <c r="C34">
        <v>0</v>
      </c>
      <c r="D34">
        <v>293.14999999999998</v>
      </c>
      <c r="E34" t="s">
        <v>18</v>
      </c>
      <c r="F34">
        <v>28.27</v>
      </c>
      <c r="G34">
        <v>0.37019999999999997</v>
      </c>
      <c r="H34">
        <v>4.1970000000000001</v>
      </c>
      <c r="I34">
        <v>7.7719999999999997E-2</v>
      </c>
      <c r="J34" t="s">
        <v>19</v>
      </c>
      <c r="K34">
        <v>28.39</v>
      </c>
      <c r="L34">
        <v>0.5</v>
      </c>
      <c r="O34" s="2" cm="1">
        <f t="array" ref="O34">_xlfn.IFS(D34=272.15, ABS(H34-$S$2)/$S$2, D34=278.15, ABS(H34-$S$3)/$S$3, D34=293.15, ABS(H34-$S$4)/$S$4, D34=298.15, ABS(H34-$S$5)/$S$5)</f>
        <v>5.2745615816913761E-2</v>
      </c>
    </row>
    <row r="35" spans="1:15" x14ac:dyDescent="0.2">
      <c r="A35" t="s">
        <v>14</v>
      </c>
      <c r="B35" t="s">
        <v>51</v>
      </c>
      <c r="C35">
        <v>0</v>
      </c>
      <c r="D35">
        <v>293.14999999999998</v>
      </c>
      <c r="E35" t="s">
        <v>18</v>
      </c>
      <c r="F35">
        <v>28.24</v>
      </c>
      <c r="G35">
        <v>0.37540000000000001</v>
      </c>
      <c r="H35">
        <v>4.2009999999999996</v>
      </c>
      <c r="I35">
        <v>7.8979999999999995E-2</v>
      </c>
      <c r="J35" t="s">
        <v>19</v>
      </c>
      <c r="K35">
        <v>28.39</v>
      </c>
      <c r="L35">
        <v>0.5</v>
      </c>
      <c r="O35" s="2" cm="1">
        <f t="array" ref="O35">_xlfn.IFS(D35=272.15, ABS(H35-$S$2)/$S$2, D35=278.15, ABS(H35-$S$3)/$S$3, D35=293.15, ABS(H35-$S$4)/$S$4, D35=298.15, ABS(H35-$S$5)/$S$5)</f>
        <v>5.1842823933012899E-2</v>
      </c>
    </row>
    <row r="36" spans="1:15" x14ac:dyDescent="0.2">
      <c r="A36" t="s">
        <v>14</v>
      </c>
      <c r="B36" t="s">
        <v>52</v>
      </c>
      <c r="C36">
        <v>0</v>
      </c>
      <c r="D36">
        <v>293.14999999999998</v>
      </c>
      <c r="E36" t="s">
        <v>18</v>
      </c>
      <c r="F36">
        <v>28.15</v>
      </c>
      <c r="G36">
        <v>0.42180000000000001</v>
      </c>
      <c r="H36">
        <v>4.2149999999999999</v>
      </c>
      <c r="I36">
        <v>8.931E-2</v>
      </c>
      <c r="J36" t="s">
        <v>19</v>
      </c>
      <c r="K36">
        <v>28.39</v>
      </c>
      <c r="L36">
        <v>0.5</v>
      </c>
      <c r="O36" s="2" cm="1">
        <f t="array" ref="O36">_xlfn.IFS(D36=272.15, ABS(H36-$S$2)/$S$2, D36=278.15, ABS(H36-$S$3)/$S$3, D36=293.15, ABS(H36-$S$4)/$S$4, D36=298.15, ABS(H36-$S$5)/$S$5)</f>
        <v>4.8683052339359469E-2</v>
      </c>
    </row>
    <row r="37" spans="1:15" x14ac:dyDescent="0.2">
      <c r="A37" t="s">
        <v>14</v>
      </c>
      <c r="B37" t="s">
        <v>53</v>
      </c>
      <c r="C37">
        <v>0</v>
      </c>
      <c r="D37">
        <v>293.14999999999998</v>
      </c>
      <c r="E37" t="s">
        <v>18</v>
      </c>
      <c r="F37">
        <v>28.15</v>
      </c>
      <c r="G37">
        <v>0.36609999999999998</v>
      </c>
      <c r="H37">
        <v>4.2149999999999999</v>
      </c>
      <c r="I37">
        <v>7.7520000000000006E-2</v>
      </c>
      <c r="J37" t="s">
        <v>19</v>
      </c>
      <c r="K37">
        <v>28.39</v>
      </c>
      <c r="L37">
        <v>0.5</v>
      </c>
      <c r="O37" s="2" cm="1">
        <f t="array" ref="O37">_xlfn.IFS(D37=272.15, ABS(H37-$S$2)/$S$2, D37=278.15, ABS(H37-$S$3)/$S$3, D37=293.15, ABS(H37-$S$4)/$S$4, D37=298.15, ABS(H37-$S$5)/$S$5)</f>
        <v>4.8683052339359469E-2</v>
      </c>
    </row>
    <row r="38" spans="1:15" x14ac:dyDescent="0.2">
      <c r="A38" t="s">
        <v>14</v>
      </c>
      <c r="B38" t="s">
        <v>54</v>
      </c>
      <c r="C38">
        <v>0</v>
      </c>
      <c r="D38">
        <v>293.14999999999998</v>
      </c>
      <c r="E38" t="s">
        <v>18</v>
      </c>
      <c r="F38">
        <v>28.15</v>
      </c>
      <c r="G38">
        <v>0.372</v>
      </c>
      <c r="H38">
        <v>4.2149999999999999</v>
      </c>
      <c r="I38">
        <v>7.8759999999999997E-2</v>
      </c>
      <c r="J38" t="s">
        <v>19</v>
      </c>
      <c r="K38">
        <v>28.39</v>
      </c>
      <c r="L38">
        <v>0.5</v>
      </c>
      <c r="O38" s="2" cm="1">
        <f t="array" ref="O38">_xlfn.IFS(D38=272.15, ABS(H38-$S$2)/$S$2, D38=278.15, ABS(H38-$S$3)/$S$3, D38=293.15, ABS(H38-$S$4)/$S$4, D38=298.15, ABS(H38-$S$5)/$S$5)</f>
        <v>4.8683052339359469E-2</v>
      </c>
    </row>
    <row r="39" spans="1:15" x14ac:dyDescent="0.2">
      <c r="A39" t="s">
        <v>14</v>
      </c>
      <c r="B39" t="s">
        <v>55</v>
      </c>
      <c r="C39">
        <v>0</v>
      </c>
      <c r="D39">
        <v>298.14999999999998</v>
      </c>
      <c r="E39" t="s">
        <v>18</v>
      </c>
      <c r="F39">
        <v>24.08</v>
      </c>
      <c r="G39">
        <v>0.25729999999999997</v>
      </c>
      <c r="H39">
        <v>4.9269999999999996</v>
      </c>
      <c r="I39">
        <v>7.4450000000000002E-2</v>
      </c>
      <c r="J39" t="s">
        <v>19</v>
      </c>
      <c r="K39">
        <v>28.39</v>
      </c>
      <c r="L39">
        <v>0.5</v>
      </c>
      <c r="O39" s="2" cm="1">
        <f t="array" ref="O39">_xlfn.IFS(D39=272.15, ABS(H39-$S$2)/$S$2, D39=278.15, ABS(H39-$S$3)/$S$3, D39=293.15, ABS(H39-$S$4)/$S$4, D39=298.15, ABS(H39-$S$5)/$S$5)</f>
        <v>1.0936249666577597E-2</v>
      </c>
    </row>
    <row r="40" spans="1:15" x14ac:dyDescent="0.2">
      <c r="A40" t="s">
        <v>14</v>
      </c>
      <c r="B40" t="s">
        <v>56</v>
      </c>
      <c r="C40">
        <v>0</v>
      </c>
      <c r="D40">
        <v>298.14999999999998</v>
      </c>
      <c r="E40" t="s">
        <v>18</v>
      </c>
      <c r="F40">
        <v>24.08</v>
      </c>
      <c r="G40">
        <v>0.26</v>
      </c>
      <c r="H40">
        <v>4.9269999999999996</v>
      </c>
      <c r="I40">
        <v>7.5230000000000005E-2</v>
      </c>
      <c r="J40" t="s">
        <v>19</v>
      </c>
      <c r="K40">
        <v>28.39</v>
      </c>
      <c r="L40">
        <v>0.5</v>
      </c>
      <c r="O40" s="2" cm="1">
        <f t="array" ref="O40">_xlfn.IFS(D40=272.15, ABS(H40-$S$2)/$S$2, D40=278.15, ABS(H40-$S$3)/$S$3, D40=293.15, ABS(H40-$S$4)/$S$4, D40=298.15, ABS(H40-$S$5)/$S$5)</f>
        <v>1.0936249666577597E-2</v>
      </c>
    </row>
    <row r="41" spans="1:15" x14ac:dyDescent="0.2">
      <c r="A41" t="s">
        <v>14</v>
      </c>
      <c r="B41" t="s">
        <v>57</v>
      </c>
      <c r="C41">
        <v>0</v>
      </c>
      <c r="D41">
        <v>298.14999999999998</v>
      </c>
      <c r="E41" t="s">
        <v>18</v>
      </c>
      <c r="F41">
        <v>24.08</v>
      </c>
      <c r="G41">
        <v>0.25800000000000001</v>
      </c>
      <c r="H41">
        <v>4.9269999999999996</v>
      </c>
      <c r="I41">
        <v>7.4649999999999994E-2</v>
      </c>
      <c r="J41" t="s">
        <v>19</v>
      </c>
      <c r="K41">
        <v>28.39</v>
      </c>
      <c r="L41">
        <v>0.5</v>
      </c>
      <c r="O41" s="2" cm="1">
        <f t="array" ref="O41">_xlfn.IFS(D41=272.15, ABS(H41-$S$2)/$S$2, D41=278.15, ABS(H41-$S$3)/$S$3, D41=293.15, ABS(H41-$S$4)/$S$4, D41=298.15, ABS(H41-$S$5)/$S$5)</f>
        <v>1.0936249666577597E-2</v>
      </c>
    </row>
    <row r="42" spans="1:15" x14ac:dyDescent="0.2">
      <c r="A42" t="s">
        <v>14</v>
      </c>
      <c r="B42" t="s">
        <v>58</v>
      </c>
      <c r="C42">
        <v>0</v>
      </c>
      <c r="D42">
        <v>298.14999999999998</v>
      </c>
      <c r="E42" t="s">
        <v>18</v>
      </c>
      <c r="F42">
        <v>24.04</v>
      </c>
      <c r="G42">
        <v>0.25940000000000002</v>
      </c>
      <c r="H42">
        <v>4.9349999999999996</v>
      </c>
      <c r="I42">
        <v>7.5310000000000002E-2</v>
      </c>
      <c r="J42" t="s">
        <v>19</v>
      </c>
      <c r="K42">
        <v>28.39</v>
      </c>
      <c r="L42">
        <v>0.5</v>
      </c>
      <c r="O42" s="2" cm="1">
        <f t="array" ref="O42">_xlfn.IFS(D42=272.15, ABS(H42-$S$2)/$S$2, D42=278.15, ABS(H42-$S$3)/$S$3, D42=293.15, ABS(H42-$S$4)/$S$4, D42=298.15, ABS(H42-$S$5)/$S$5)</f>
        <v>1.257771303116713E-2</v>
      </c>
    </row>
    <row r="43" spans="1:15" x14ac:dyDescent="0.2">
      <c r="A43" t="s">
        <v>14</v>
      </c>
      <c r="B43" t="s">
        <v>59</v>
      </c>
      <c r="C43">
        <v>0</v>
      </c>
      <c r="D43">
        <v>298.14999999999998</v>
      </c>
      <c r="E43" t="s">
        <v>18</v>
      </c>
      <c r="F43">
        <v>24.04</v>
      </c>
      <c r="G43">
        <v>0.25640000000000002</v>
      </c>
      <c r="H43">
        <v>4.9349999999999996</v>
      </c>
      <c r="I43">
        <v>7.4440000000000006E-2</v>
      </c>
      <c r="J43" t="s">
        <v>19</v>
      </c>
      <c r="K43">
        <v>28.39</v>
      </c>
      <c r="L43">
        <v>0.5</v>
      </c>
      <c r="O43" s="2" cm="1">
        <f t="array" ref="O43">_xlfn.IFS(D43=272.15, ABS(H43-$S$2)/$S$2, D43=278.15, ABS(H43-$S$3)/$S$3, D43=293.15, ABS(H43-$S$4)/$S$4, D43=298.15, ABS(H43-$S$5)/$S$5)</f>
        <v>1.257771303116713E-2</v>
      </c>
    </row>
    <row r="44" spans="1:15" x14ac:dyDescent="0.2">
      <c r="A44" t="s">
        <v>14</v>
      </c>
      <c r="B44" t="s">
        <v>60</v>
      </c>
      <c r="C44">
        <v>0</v>
      </c>
      <c r="D44">
        <v>298.14999999999998</v>
      </c>
      <c r="E44" t="s">
        <v>18</v>
      </c>
      <c r="F44">
        <v>24.04</v>
      </c>
      <c r="G44">
        <v>0.25919999999999999</v>
      </c>
      <c r="H44">
        <v>4.9349999999999996</v>
      </c>
      <c r="I44">
        <v>7.5249999999999997E-2</v>
      </c>
      <c r="J44" t="s">
        <v>19</v>
      </c>
      <c r="K44">
        <v>28.39</v>
      </c>
      <c r="L44">
        <v>0.5</v>
      </c>
      <c r="O44" s="2" cm="1">
        <f t="array" ref="O44">_xlfn.IFS(D44=272.15, ABS(H44-$S$2)/$S$2, D44=278.15, ABS(H44-$S$3)/$S$3, D44=293.15, ABS(H44-$S$4)/$S$4, D44=298.15, ABS(H44-$S$5)/$S$5)</f>
        <v>1.257771303116713E-2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zAnalysis20260924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Diaz, Zachary (US 322A-Affiliate)</cp:lastModifiedBy>
  <dcterms:created xsi:type="dcterms:W3CDTF">2026-09-28T18:16:15Z</dcterms:created>
  <dcterms:modified xsi:type="dcterms:W3CDTF">2026-10-15T22:14:56Z</dcterms:modified>
</cp:coreProperties>
</file>