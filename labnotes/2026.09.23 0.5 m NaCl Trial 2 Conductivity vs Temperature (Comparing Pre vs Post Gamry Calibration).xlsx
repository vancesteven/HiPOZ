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diaz/Documents/"/>
    </mc:Choice>
  </mc:AlternateContent>
  <xr:revisionPtr revIDLastSave="0" documentId="8_{1267EE4D-1199-0541-8396-9CC80B525AE3}" xr6:coauthVersionLast="47" xr6:coauthVersionMax="47" xr10:uidLastSave="{00000000-0000-0000-0000-000000000000}"/>
  <bookViews>
    <workbookView xWindow="7480" yWindow="-20360" windowWidth="27640" windowHeight="16680" xr2:uid="{E5B1C368-87A8-2441-8D2D-DA6D267BF810}"/>
  </bookViews>
  <sheets>
    <sheet name="zAnalysis20260923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 a="1"/>
  <c r="R2" i="1" s="1"/>
  <c r="O37" i="1" a="1"/>
  <c r="O38" i="1" a="1"/>
  <c r="O39" i="1" a="1"/>
  <c r="O40" i="1" a="1"/>
  <c r="O41" i="1" a="1"/>
  <c r="O42" i="1" a="1"/>
  <c r="O43" i="1" a="1"/>
  <c r="O44" i="1" a="1"/>
  <c r="O45" i="1" a="1"/>
  <c r="O46" i="1" a="1"/>
  <c r="O47" i="1" a="1"/>
  <c r="O48" i="1" a="1"/>
  <c r="O49" i="1" a="1"/>
  <c r="O50" i="1" a="1"/>
  <c r="O21" i="1" a="1"/>
  <c r="O22" i="1" a="1"/>
  <c r="O23" i="1" a="1"/>
  <c r="O24" i="1" a="1"/>
  <c r="O25" i="1" a="1"/>
  <c r="O26" i="1" a="1"/>
  <c r="O27" i="1" a="1"/>
  <c r="O28" i="1" a="1"/>
  <c r="O29" i="1" a="1"/>
  <c r="O30" i="1" a="1"/>
  <c r="O31" i="1" a="1"/>
  <c r="O32" i="1" a="1"/>
  <c r="O33" i="1" a="1"/>
  <c r="O34" i="1" a="1"/>
  <c r="O35" i="1" a="1"/>
  <c r="O36" i="1" a="1"/>
  <c r="O4" i="1" a="1"/>
  <c r="O5" i="1" a="1"/>
  <c r="O6" i="1" a="1"/>
  <c r="O7" i="1" a="1"/>
  <c r="O8" i="1" a="1"/>
  <c r="O9" i="1" a="1"/>
  <c r="O10" i="1" a="1"/>
  <c r="O11" i="1" a="1"/>
  <c r="O12" i="1" a="1"/>
  <c r="O13" i="1" a="1"/>
  <c r="O14" i="1" a="1"/>
  <c r="O15" i="1" a="1"/>
  <c r="O16" i="1" a="1"/>
  <c r="O17" i="1" a="1"/>
  <c r="O18" i="1" a="1"/>
  <c r="O19" i="1" a="1"/>
  <c r="O20" i="1" a="1"/>
  <c r="O3" i="1" a="1"/>
  <c r="T5" i="1" a="1"/>
  <c r="R5" i="1" a="1"/>
  <c r="T4" i="1" a="1"/>
  <c r="R4" i="1" a="1"/>
  <c r="T3" i="1" a="1"/>
  <c r="R3" i="1" a="1"/>
  <c r="Q3" i="1"/>
  <c r="T2" i="1" a="1"/>
  <c r="Q2" i="1"/>
  <c r="Q5" i="1"/>
  <c r="Q4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T5" i="1"/>
  <c r="R5" i="1"/>
  <c r="O5" i="1"/>
  <c r="T4" i="1"/>
  <c r="R4" i="1"/>
  <c r="O4" i="1"/>
  <c r="T3" i="1"/>
  <c r="R3" i="1"/>
  <c r="O3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<sst xmlns="http://schemas.openxmlformats.org/spreadsheetml/2006/main" count="222" uniqueCount="80">
  <si>
    <t>group_name</t>
  </si>
  <si>
    <t>filename</t>
  </si>
  <si>
    <t>P_MPa</t>
  </si>
  <si>
    <t>T_K</t>
  </si>
  <si>
    <t>type</t>
  </si>
  <si>
    <t>Z_Ohm</t>
  </si>
  <si>
    <t>Z_unc_Ohm</t>
  </si>
  <si>
    <t>conductivity_Sm</t>
  </si>
  <si>
    <t>S_unc_pct</t>
  </si>
  <si>
    <t>comp</t>
  </si>
  <si>
    <t>w_ppt</t>
  </si>
  <si>
    <t>w_molal</t>
  </si>
  <si>
    <t>exclude</t>
  </si>
  <si>
    <t>notes</t>
  </si>
  <si>
    <t>Group 1</t>
  </si>
  <si>
    <t>Default_20260923_111954_P_2_T_295.txt</t>
  </si>
  <si>
    <t>standard</t>
  </si>
  <si>
    <t>Default_20260923_124013_P_2_T_295.txt</t>
  </si>
  <si>
    <t>measurement</t>
  </si>
  <si>
    <t>NaCl</t>
  </si>
  <si>
    <t>Default_20260923_124109_P_2_T_295.txt</t>
  </si>
  <si>
    <t>Default_20260923_124205_P_3_T_295.txt</t>
  </si>
  <si>
    <t>Default_20260923_130258_P_2_T_295.txt</t>
  </si>
  <si>
    <t>Default_20260923_130351_P_2_T_295.txt</t>
  </si>
  <si>
    <t>Default_20260923_130444_P_3_T_295.txt</t>
  </si>
  <si>
    <t>Default_20260923_132330_P_2_T_295.txt</t>
  </si>
  <si>
    <t>Default_20260923_132423_P_2_T_295.txt</t>
  </si>
  <si>
    <t>Default_20260923_132516_P_2_T_295.txt</t>
  </si>
  <si>
    <t>Default_20260923_140614_P_3_T_295.txt</t>
  </si>
  <si>
    <t>Default_20260923_140707_P_1_T_295.txt</t>
  </si>
  <si>
    <t>Default_20260923_140800_P_3_T_295.txt</t>
  </si>
  <si>
    <t>Default_20260923_141627_P_2_T_295.txt</t>
  </si>
  <si>
    <t>Default_20260923_141721_P_1_T_295.txt</t>
  </si>
  <si>
    <t>Default_20260923_141814_P_3_T_295.txt</t>
  </si>
  <si>
    <t>Default_20260923_143708_P_1_T_295.txt</t>
  </si>
  <si>
    <t>Default_20260923_143801_P_2_T_295.txt</t>
  </si>
  <si>
    <t>Default_20260923_143854_P_2_T_295.txt</t>
  </si>
  <si>
    <t>Default_20260923_150604_P_2_T_295.txt</t>
  </si>
  <si>
    <t>Default_20260923_150657_P_2_T_295.txt</t>
  </si>
  <si>
    <t>Default_20260923_150750_P_3_T_295.txt</t>
  </si>
  <si>
    <t>Default_20260923_152612_P_2_T_295.txt</t>
  </si>
  <si>
    <t>Default_20260923_152705_P_2_T_295.txt</t>
  </si>
  <si>
    <t>Default_20260923_152758_P_2_T_295.txt</t>
  </si>
  <si>
    <t>Default_20260923_155406_P_2_T_295.txt</t>
  </si>
  <si>
    <t>Default_20260923_155459_P_2_T_295.txt</t>
  </si>
  <si>
    <t>Default_20260923_155552_P_2_T_295.txt</t>
  </si>
  <si>
    <t>Default_20260923_160419_P_2_T_295.txt</t>
  </si>
  <si>
    <t>Default_20260923_160513_P_2_T_295.txt</t>
  </si>
  <si>
    <t>Default_20260923_160605_P_2_T_295.txt</t>
  </si>
  <si>
    <t>Default_20260923_162630_P_2_T_295.txt</t>
  </si>
  <si>
    <t>Default_20260923_162723_P_2_T_295.txt</t>
  </si>
  <si>
    <t>Default_20260923_162816_P_2_T_295.txt</t>
  </si>
  <si>
    <t>Default_20260923_163649_P_1_T_295.txt</t>
  </si>
  <si>
    <t>Default_20260923_163742_P_2_T_295.txt</t>
  </si>
  <si>
    <t>Default_20260923_163835_P_2_T_295.txt</t>
  </si>
  <si>
    <t>Default_20260923_170109_P_2_T_295.txt</t>
  </si>
  <si>
    <t>Default_20260923_170202_P_2_T_295.txt</t>
  </si>
  <si>
    <t>Default_20260923_170256_P_2_T_295.txt</t>
  </si>
  <si>
    <t>Default_20260923_171133_P_1_T_295.txt</t>
  </si>
  <si>
    <t>Default_20260923_171227_P_3_T_295.txt</t>
  </si>
  <si>
    <t>Default_20260923_171320_P_2_T_295.txt</t>
  </si>
  <si>
    <t>Default_20260923_173141_P_2_T_295.txt</t>
  </si>
  <si>
    <t>Default_20260923_173235_P_2_T_295.txt</t>
  </si>
  <si>
    <t>Default_20260923_173329_P_3_T_295.txt</t>
  </si>
  <si>
    <t>Default_20260923_174008_P_1_T_295.txt</t>
  </si>
  <si>
    <t>Default_20260923_174102_P_1_T_295.txt</t>
  </si>
  <si>
    <t>Default_20260923_174155_P_2_T_295.txt</t>
  </si>
  <si>
    <t>Temp</t>
  </si>
  <si>
    <t>5 C</t>
  </si>
  <si>
    <t>20 C</t>
  </si>
  <si>
    <t>25 C</t>
  </si>
  <si>
    <t>-1 C</t>
  </si>
  <si>
    <t>Standard Deviation</t>
  </si>
  <si>
    <t>Average</t>
  </si>
  <si>
    <t>Dev</t>
  </si>
  <si>
    <t>Ind Dev</t>
  </si>
  <si>
    <t>Lit Value</t>
  </si>
  <si>
    <t>Recalibrated Gamry</t>
  </si>
  <si>
    <r>
      <rPr>
        <sz val="12"/>
        <color rgb="FFC00000"/>
        <rFont val="Aptos Narrow (Body)"/>
      </rPr>
      <t>red</t>
    </r>
    <r>
      <rPr>
        <sz val="12"/>
        <color theme="1"/>
        <rFont val="Aptos Narrow"/>
        <family val="2"/>
        <scheme val="minor"/>
      </rPr>
      <t xml:space="preserve"> = before</t>
    </r>
  </si>
  <si>
    <r>
      <rPr>
        <sz val="12"/>
        <color rgb="FF0070C0"/>
        <rFont val="Aptos Narrow (Body)"/>
      </rPr>
      <t>blue</t>
    </r>
    <r>
      <rPr>
        <sz val="12"/>
        <color theme="1"/>
        <rFont val="Aptos Narrow"/>
        <family val="2"/>
        <scheme val="minor"/>
      </rPr>
      <t xml:space="preserve"> = after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</si>
</sst>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C00000"/>
      <name val="Aptos Narrow (Body)"/>
    </font>
    <font>
      <sz val="12"/>
      <color rgb="FF0070C0"/>
      <name val="Aptos Narrow (Body)"/>
    </font>
    <font>
      <sz val="12"/>
      <color rgb="FF0070C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0" fontId="0" fillId="0" borderId="0" xfId="0" applyNumberFormat="1"/>
    <xf numFmtId="0" fontId="18" fillId="0" borderId="0" xfId="0" applyFont="1"/>
    <xf numFmtId="0" fontId="14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24</xdr:col>
      <xdr:colOff>180376</xdr:colOff>
      <xdr:row>34</xdr:row>
      <xdr:rowOff>97822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803FFC-4550-45C0-BA4A-B0A242AD3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5733" y="1219200"/>
          <a:ext cx="7772400" cy="5787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1736-D4B1-5D47-B712-05714FACA20B}">
  <dimension ref="A1:V50"/>
  <sheetViews>
    <sheetView tabSelected="1" zoomScale="69" workbookViewId="0">
      <selection activeCell="T41" sqref="T41"/>
    </sheetView>
  </sheetViews>
  <sheetFormatPr baseColWidth="10" defaultRowHeight="16" x14ac:dyDescent="0.2"/>
  <cols>
    <col min="2" max="2" width="35.33203125" bestFit="1" customWidth="1"/>
    <col min="5" max="5" width="12.33203125" bestFit="1" customWidth="1"/>
    <col min="17" max="17" width="16.83203125" bestFit="1" customWidth="1"/>
    <col min="22" max="22" width="17.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75</v>
      </c>
      <c r="P1" t="s">
        <v>67</v>
      </c>
      <c r="Q1" t="s">
        <v>72</v>
      </c>
      <c r="R1" t="s">
        <v>73</v>
      </c>
      <c r="S1" t="s">
        <v>76</v>
      </c>
      <c r="T1" t="s">
        <v>74</v>
      </c>
      <c r="V1" s="3" t="s">
        <v>77</v>
      </c>
    </row>
    <row r="2" spans="1:22" x14ac:dyDescent="0.2">
      <c r="A2" t="s">
        <v>14</v>
      </c>
      <c r="B2" t="s">
        <v>15</v>
      </c>
      <c r="C2">
        <v>0</v>
      </c>
      <c r="D2">
        <v>298.14999999999998</v>
      </c>
      <c r="E2" t="s">
        <v>16</v>
      </c>
      <c r="F2">
        <v>14.99</v>
      </c>
      <c r="G2">
        <v>0.34949999999999998</v>
      </c>
      <c r="H2" s="4">
        <v>8</v>
      </c>
      <c r="O2" s="2"/>
      <c r="P2" s="1" t="s">
        <v>71</v>
      </c>
      <c r="Q2" s="2">
        <f>STDEV(H21:H32)/AVERAGE(H21:H32)</f>
        <v>5.9991551870041291E-3</v>
      </c>
      <c r="R2" cm="1">
        <f t="array" ref="R2">AVERAGE(ABS(_xlfn.VSTACK(H21:H32)))</f>
        <v>2.71875</v>
      </c>
      <c r="S2">
        <v>2.6989999999999998</v>
      </c>
      <c r="T2" s="2" cm="1">
        <f t="array" ref="T2">AVERAGE(ABS(_xlfn.VSTACK(H21:H32)-S2))/S2</f>
        <v>7.3175250092627339E-3</v>
      </c>
      <c r="V2" t="s">
        <v>78</v>
      </c>
    </row>
    <row r="3" spans="1:22" x14ac:dyDescent="0.2">
      <c r="A3" t="s">
        <v>14</v>
      </c>
      <c r="B3" t="s">
        <v>17</v>
      </c>
      <c r="C3">
        <v>0</v>
      </c>
      <c r="D3">
        <v>298.14999999999998</v>
      </c>
      <c r="E3" t="s">
        <v>18</v>
      </c>
      <c r="F3">
        <v>24.07</v>
      </c>
      <c r="G3">
        <v>0.20760000000000001</v>
      </c>
      <c r="H3" s="4">
        <v>4.9820000000000002</v>
      </c>
      <c r="I3">
        <v>6.0769999999999998E-2</v>
      </c>
      <c r="J3" t="s">
        <v>19</v>
      </c>
      <c r="K3">
        <v>28.39</v>
      </c>
      <c r="L3">
        <v>0.5</v>
      </c>
      <c r="O3" s="2" cm="1">
        <f t="array" ref="O3">_xlfn.IFS(D3=272.15, ABS(H3-$S$2)/$S$2, D3=278.15, ABS(H3-$S$3)/$S$3, D3=293.15, ABS(H3-$S$4)/$S$4, D3=298.15, ABS(H3-$S$5)/$S$5)</f>
        <v>2.222131029813075E-2</v>
      </c>
      <c r="P3" t="s">
        <v>68</v>
      </c>
      <c r="Q3" s="2">
        <f>STDEV(H12:H20,H33:H38)/AVERAGE(H12:H20,H33:H38)</f>
        <v>4.6400911350299853E-3</v>
      </c>
      <c r="R3" cm="1">
        <f t="array" ref="R3">AVERAGE(ABS(_xlfn.VSTACK(H12:H20,H33:H38)))</f>
        <v>3.2088666666666668</v>
      </c>
      <c r="S3">
        <v>3.1343000000000001</v>
      </c>
      <c r="T3" s="2" cm="1">
        <f t="array" ref="T3">AVERAGE(ABS(_xlfn.VSTACK(H12:H20,H33:H38)-$S$3))/$S$3</f>
        <v>2.3790532707994326E-2</v>
      </c>
      <c r="V3" t="s">
        <v>79</v>
      </c>
    </row>
    <row r="4" spans="1:22" x14ac:dyDescent="0.2">
      <c r="A4" t="s">
        <v>14</v>
      </c>
      <c r="B4" t="s">
        <v>20</v>
      </c>
      <c r="C4">
        <v>0</v>
      </c>
      <c r="D4">
        <v>298.14999999999998</v>
      </c>
      <c r="E4" t="s">
        <v>18</v>
      </c>
      <c r="F4">
        <v>24.07</v>
      </c>
      <c r="G4">
        <v>0.2089</v>
      </c>
      <c r="H4" s="4">
        <v>4.9820000000000002</v>
      </c>
      <c r="I4">
        <v>6.1150000000000003E-2</v>
      </c>
      <c r="J4" t="s">
        <v>19</v>
      </c>
      <c r="K4">
        <v>28.39</v>
      </c>
      <c r="L4">
        <v>0.5</v>
      </c>
      <c r="O4" s="2" cm="1">
        <f t="array" ref="O4">_xlfn.IFS(D4=272.15, ABS(H4-$S$2)/$S$2, D4=278.15, ABS(H4-$S$3)/$S$3, D4=293.15, ABS(H4-$S$4)/$S$4, D4=298.15, ABS(H4-$S$5)/$S$5)</f>
        <v>2.222131029813075E-2</v>
      </c>
      <c r="P4" t="s">
        <v>69</v>
      </c>
      <c r="Q4" s="2">
        <f>STDEV(H6:H11,H39:H44)/AVERAGE(H6:H11,H39:H44)</f>
        <v>1.8470977785064232E-2</v>
      </c>
      <c r="R4" cm="1">
        <f t="array" ref="R4">AVERAGE(ABS(_xlfn.VSTACK(H6:H11,H39:H44)))</f>
        <v>4.5360000000000005</v>
      </c>
      <c r="S4">
        <v>4.4306999999999999</v>
      </c>
      <c r="T4" s="2" cm="1">
        <f t="array" ref="T4">AVERAGE(ABS(_xlfn.VSTACK(H6:H11,H39:H44)-$S$4))/$S$4</f>
        <v>2.3765996343692909E-2</v>
      </c>
    </row>
    <row r="5" spans="1:22" x14ac:dyDescent="0.2">
      <c r="A5" t="s">
        <v>14</v>
      </c>
      <c r="B5" t="s">
        <v>21</v>
      </c>
      <c r="C5">
        <v>0</v>
      </c>
      <c r="D5">
        <v>298.14999999999998</v>
      </c>
      <c r="E5" t="s">
        <v>18</v>
      </c>
      <c r="F5">
        <v>24.07</v>
      </c>
      <c r="G5">
        <v>0.2082</v>
      </c>
      <c r="H5" s="4">
        <v>4.9820000000000002</v>
      </c>
      <c r="I5">
        <v>6.0940000000000001E-2</v>
      </c>
      <c r="J5" t="s">
        <v>19</v>
      </c>
      <c r="K5">
        <v>28.39</v>
      </c>
      <c r="L5">
        <v>0.5</v>
      </c>
      <c r="O5" s="2" cm="1">
        <f t="array" ref="O5">_xlfn.IFS(D5=272.15, ABS(H5-$S$2)/$S$2, D5=278.15, ABS(H5-$S$3)/$S$3, D5=293.15, ABS(H5-$S$4)/$S$4, D5=298.15, ABS(H5-$S$5)/$S$5)</f>
        <v>2.222131029813075E-2</v>
      </c>
      <c r="P5" t="s">
        <v>70</v>
      </c>
      <c r="Q5" s="2">
        <f>STDEV(H3:H5,H45:H47)/AVERAGE(H3:H5,H45:H47)</f>
        <v>1.0706132260539212E-2</v>
      </c>
      <c r="R5" cm="1">
        <f t="array" ref="R5">AVERAGE(ABS(_xlfn.VSTACK(H3:H5,H45:H47)))</f>
        <v>5.0311666666666666</v>
      </c>
      <c r="S5">
        <v>4.8737000000000004</v>
      </c>
      <c r="T5" s="2" cm="1">
        <f t="array" ref="T5">AVERAGE(ABS(_xlfn.VSTACK(H3:H5,H45:H47)-$S$5))/$S$5</f>
        <v>3.2309470559670581E-2</v>
      </c>
    </row>
    <row r="6" spans="1:22" x14ac:dyDescent="0.2">
      <c r="A6" t="s">
        <v>14</v>
      </c>
      <c r="B6" t="s">
        <v>22</v>
      </c>
      <c r="C6">
        <v>0</v>
      </c>
      <c r="D6">
        <v>293.14999999999998</v>
      </c>
      <c r="E6" t="s">
        <v>18</v>
      </c>
      <c r="F6">
        <v>26.84</v>
      </c>
      <c r="G6">
        <v>0.4037</v>
      </c>
      <c r="H6" s="4">
        <v>4.468</v>
      </c>
      <c r="I6">
        <v>9.5039999999999999E-2</v>
      </c>
      <c r="J6" t="s">
        <v>19</v>
      </c>
      <c r="K6">
        <v>28.39</v>
      </c>
      <c r="L6">
        <v>0.5</v>
      </c>
      <c r="O6" s="2" cm="1">
        <f t="array" ref="O6">_xlfn.IFS(D6=272.15, ABS(H6-$S$2)/$S$2, D6=278.15, ABS(H6-$S$3)/$S$3, D6=293.15, ABS(H6-$S$4)/$S$4, D6=298.15, ABS(H6-$S$5)/$S$5)</f>
        <v>8.4185343173765123E-3</v>
      </c>
    </row>
    <row r="7" spans="1:22" x14ac:dyDescent="0.2">
      <c r="A7" t="s">
        <v>14</v>
      </c>
      <c r="B7" t="s">
        <v>23</v>
      </c>
      <c r="C7">
        <v>0</v>
      </c>
      <c r="D7">
        <v>293.14999999999998</v>
      </c>
      <c r="E7" t="s">
        <v>18</v>
      </c>
      <c r="F7">
        <v>26.87</v>
      </c>
      <c r="G7">
        <v>0.40229999999999999</v>
      </c>
      <c r="H7" s="4">
        <v>4.4630000000000001</v>
      </c>
      <c r="I7">
        <v>9.4500000000000001E-2</v>
      </c>
      <c r="J7" t="s">
        <v>19</v>
      </c>
      <c r="K7">
        <v>28.39</v>
      </c>
      <c r="L7">
        <v>0.5</v>
      </c>
      <c r="O7" s="2" cm="1">
        <f t="array" ref="O7">_xlfn.IFS(D7=272.15, ABS(H7-$S$2)/$S$2, D7=278.15, ABS(H7-$S$3)/$S$3, D7=293.15, ABS(H7-$S$4)/$S$4, D7=298.15, ABS(H7-$S$5)/$S$5)</f>
        <v>7.2900444625003313E-3</v>
      </c>
      <c r="P7" s="2"/>
    </row>
    <row r="8" spans="1:22" x14ac:dyDescent="0.2">
      <c r="A8" t="s">
        <v>14</v>
      </c>
      <c r="B8" t="s">
        <v>24</v>
      </c>
      <c r="C8">
        <v>0</v>
      </c>
      <c r="D8">
        <v>293.14999999999998</v>
      </c>
      <c r="E8" t="s">
        <v>18</v>
      </c>
      <c r="F8">
        <v>26.88</v>
      </c>
      <c r="G8">
        <v>0.40229999999999999</v>
      </c>
      <c r="H8" s="4">
        <v>4.4610000000000003</v>
      </c>
      <c r="I8">
        <v>9.443E-2</v>
      </c>
      <c r="J8" t="s">
        <v>19</v>
      </c>
      <c r="K8">
        <v>28.39</v>
      </c>
      <c r="L8">
        <v>0.5</v>
      </c>
      <c r="O8" s="2" cm="1">
        <f t="array" ref="O8">_xlfn.IFS(D8=272.15, ABS(H8-$S$2)/$S$2, D8=278.15, ABS(H8-$S$3)/$S$3, D8=293.15, ABS(H8-$S$4)/$S$4, D8=298.15, ABS(H8-$S$5)/$S$5)</f>
        <v>6.8386485205498993E-3</v>
      </c>
    </row>
    <row r="9" spans="1:22" x14ac:dyDescent="0.2">
      <c r="A9" t="s">
        <v>14</v>
      </c>
      <c r="B9" t="s">
        <v>25</v>
      </c>
      <c r="C9">
        <v>0</v>
      </c>
      <c r="D9">
        <v>293.14999999999998</v>
      </c>
      <c r="E9" t="s">
        <v>18</v>
      </c>
      <c r="F9">
        <v>26.96</v>
      </c>
      <c r="G9">
        <v>0.4017</v>
      </c>
      <c r="H9" s="4">
        <v>4.4480000000000004</v>
      </c>
      <c r="I9">
        <v>9.3729999999999994E-2</v>
      </c>
      <c r="J9" t="s">
        <v>19</v>
      </c>
      <c r="K9">
        <v>28.39</v>
      </c>
      <c r="L9">
        <v>0.5</v>
      </c>
      <c r="O9" s="2" cm="1">
        <f t="array" ref="O9">_xlfn.IFS(D9=272.15, ABS(H9-$S$2)/$S$2, D9=278.15, ABS(H9-$S$3)/$S$3, D9=293.15, ABS(H9-$S$4)/$S$4, D9=298.15, ABS(H9-$S$5)/$S$5)</f>
        <v>3.9045748978717896E-3</v>
      </c>
    </row>
    <row r="10" spans="1:22" x14ac:dyDescent="0.2">
      <c r="A10" t="s">
        <v>14</v>
      </c>
      <c r="B10" t="s">
        <v>26</v>
      </c>
      <c r="C10">
        <v>0</v>
      </c>
      <c r="D10">
        <v>293.14999999999998</v>
      </c>
      <c r="E10" t="s">
        <v>18</v>
      </c>
      <c r="F10">
        <v>26.96</v>
      </c>
      <c r="G10">
        <v>0.40150000000000002</v>
      </c>
      <c r="H10" s="4">
        <v>4.4480000000000004</v>
      </c>
      <c r="I10">
        <v>9.3679999999999999E-2</v>
      </c>
      <c r="J10" t="s">
        <v>19</v>
      </c>
      <c r="K10">
        <v>28.39</v>
      </c>
      <c r="L10">
        <v>0.5</v>
      </c>
      <c r="O10" s="2" cm="1">
        <f t="array" ref="O10">_xlfn.IFS(D10=272.15, ABS(H10-$S$2)/$S$2, D10=278.15, ABS(H10-$S$3)/$S$3, D10=293.15, ABS(H10-$S$4)/$S$4, D10=298.15, ABS(H10-$S$5)/$S$5)</f>
        <v>3.9045748978717896E-3</v>
      </c>
    </row>
    <row r="11" spans="1:22" x14ac:dyDescent="0.2">
      <c r="A11" t="s">
        <v>14</v>
      </c>
      <c r="B11" t="s">
        <v>27</v>
      </c>
      <c r="C11">
        <v>0</v>
      </c>
      <c r="D11">
        <v>293.14999999999998</v>
      </c>
      <c r="E11" t="s">
        <v>18</v>
      </c>
      <c r="F11">
        <v>26.96</v>
      </c>
      <c r="G11">
        <v>0.40589999999999998</v>
      </c>
      <c r="H11" s="4">
        <v>4.4480000000000004</v>
      </c>
      <c r="I11">
        <v>9.4710000000000003E-2</v>
      </c>
      <c r="J11" t="s">
        <v>19</v>
      </c>
      <c r="K11">
        <v>28.39</v>
      </c>
      <c r="L11">
        <v>0.5</v>
      </c>
      <c r="O11" s="2" cm="1">
        <f t="array" ref="O11">_xlfn.IFS(D11=272.15, ABS(H11-$S$2)/$S$2, D11=278.15, ABS(H11-$S$3)/$S$3, D11=293.15, ABS(H11-$S$4)/$S$4, D11=298.15, ABS(H11-$S$5)/$S$5)</f>
        <v>3.9045748978717896E-3</v>
      </c>
    </row>
    <row r="12" spans="1:22" x14ac:dyDescent="0.2">
      <c r="A12" t="s">
        <v>14</v>
      </c>
      <c r="B12" t="s">
        <v>28</v>
      </c>
      <c r="C12">
        <v>0</v>
      </c>
      <c r="D12">
        <v>278.14999999999998</v>
      </c>
      <c r="E12" t="s">
        <v>18</v>
      </c>
      <c r="F12">
        <v>37.43</v>
      </c>
      <c r="G12">
        <v>0.27889999999999998</v>
      </c>
      <c r="H12" s="4">
        <v>3.2040000000000002</v>
      </c>
      <c r="I12">
        <v>3.3759999999999998E-2</v>
      </c>
      <c r="J12" t="s">
        <v>19</v>
      </c>
      <c r="K12">
        <v>28.39</v>
      </c>
      <c r="L12">
        <v>0.5</v>
      </c>
      <c r="O12" s="2" cm="1">
        <f t="array" ref="O12">_xlfn.IFS(D12=272.15, ABS(H12-$S$2)/$S$2, D12=278.15, ABS(H12-$S$3)/$S$3, D12=293.15, ABS(H12-$S$4)/$S$4, D12=298.15, ABS(H12-$S$5)/$S$5)</f>
        <v>2.2237820246945122E-2</v>
      </c>
    </row>
    <row r="13" spans="1:22" x14ac:dyDescent="0.2">
      <c r="A13" t="s">
        <v>14</v>
      </c>
      <c r="B13" t="s">
        <v>29</v>
      </c>
      <c r="C13">
        <v>0</v>
      </c>
      <c r="D13">
        <v>278.14999999999998</v>
      </c>
      <c r="E13" t="s">
        <v>18</v>
      </c>
      <c r="F13">
        <v>37.47</v>
      </c>
      <c r="G13">
        <v>0.27879999999999999</v>
      </c>
      <c r="H13" s="4">
        <v>3.2</v>
      </c>
      <c r="I13">
        <v>3.3680000000000002E-2</v>
      </c>
      <c r="J13" t="s">
        <v>19</v>
      </c>
      <c r="K13">
        <v>28.39</v>
      </c>
      <c r="L13">
        <v>0.5</v>
      </c>
      <c r="O13" s="2" cm="1">
        <f t="array" ref="O13">_xlfn.IFS(D13=272.15, ABS(H13-$S$2)/$S$2, D13=278.15, ABS(H13-$S$3)/$S$3, D13=293.15, ABS(H13-$S$4)/$S$4, D13=298.15, ABS(H13-$S$5)/$S$5)</f>
        <v>2.0961618224164914E-2</v>
      </c>
    </row>
    <row r="14" spans="1:22" x14ac:dyDescent="0.2">
      <c r="A14" t="s">
        <v>14</v>
      </c>
      <c r="B14" t="s">
        <v>30</v>
      </c>
      <c r="C14">
        <v>0</v>
      </c>
      <c r="D14">
        <v>278.14999999999998</v>
      </c>
      <c r="E14" t="s">
        <v>18</v>
      </c>
      <c r="F14">
        <v>37.49</v>
      </c>
      <c r="G14">
        <v>0.28029999999999999</v>
      </c>
      <c r="H14" s="4">
        <v>3.1989999999999998</v>
      </c>
      <c r="I14">
        <v>3.3820000000000003E-2</v>
      </c>
      <c r="J14" t="s">
        <v>19</v>
      </c>
      <c r="K14">
        <v>28.39</v>
      </c>
      <c r="L14">
        <v>0.5</v>
      </c>
      <c r="O14" s="2" cm="1">
        <f t="array" ref="O14">_xlfn.IFS(D14=272.15, ABS(H14-$S$2)/$S$2, D14=278.15, ABS(H14-$S$3)/$S$3, D14=293.15, ABS(H14-$S$4)/$S$4, D14=298.15, ABS(H14-$S$5)/$S$5)</f>
        <v>2.0642567718469756E-2</v>
      </c>
    </row>
    <row r="15" spans="1:22" x14ac:dyDescent="0.2">
      <c r="A15" t="s">
        <v>14</v>
      </c>
      <c r="B15" t="s">
        <v>31</v>
      </c>
      <c r="C15">
        <v>0</v>
      </c>
      <c r="D15">
        <v>278.14999999999998</v>
      </c>
      <c r="E15" t="s">
        <v>18</v>
      </c>
      <c r="F15">
        <v>37.54</v>
      </c>
      <c r="G15">
        <v>0.27779999999999999</v>
      </c>
      <c r="H15" s="4">
        <v>3.194</v>
      </c>
      <c r="I15">
        <v>3.3430000000000001E-2</v>
      </c>
      <c r="J15" t="s">
        <v>19</v>
      </c>
      <c r="K15">
        <v>28.39</v>
      </c>
      <c r="L15">
        <v>0.5</v>
      </c>
      <c r="O15" s="2" cm="1">
        <f t="array" ref="O15">_xlfn.IFS(D15=272.15, ABS(H15-$S$2)/$S$2, D15=278.15, ABS(H15-$S$3)/$S$3, D15=293.15, ABS(H15-$S$4)/$S$4, D15=298.15, ABS(H15-$S$5)/$S$5)</f>
        <v>1.9047315189994533E-2</v>
      </c>
    </row>
    <row r="16" spans="1:22" x14ac:dyDescent="0.2">
      <c r="A16" t="s">
        <v>14</v>
      </c>
      <c r="B16" t="s">
        <v>32</v>
      </c>
      <c r="C16">
        <v>0</v>
      </c>
      <c r="D16">
        <v>278.14999999999998</v>
      </c>
      <c r="E16" t="s">
        <v>18</v>
      </c>
      <c r="F16">
        <v>37.54</v>
      </c>
      <c r="G16">
        <v>0.27500000000000002</v>
      </c>
      <c r="H16" s="4">
        <v>3.194</v>
      </c>
      <c r="I16">
        <v>3.3090000000000001E-2</v>
      </c>
      <c r="J16" t="s">
        <v>19</v>
      </c>
      <c r="K16">
        <v>28.39</v>
      </c>
      <c r="L16">
        <v>0.5</v>
      </c>
      <c r="O16" s="2" cm="1">
        <f t="array" ref="O16">_xlfn.IFS(D16=272.15, ABS(H16-$S$2)/$S$2, D16=278.15, ABS(H16-$S$3)/$S$3, D16=293.15, ABS(H16-$S$4)/$S$4, D16=298.15, ABS(H16-$S$5)/$S$5)</f>
        <v>1.9047315189994533E-2</v>
      </c>
    </row>
    <row r="17" spans="1:15" x14ac:dyDescent="0.2">
      <c r="A17" t="s">
        <v>14</v>
      </c>
      <c r="B17" t="s">
        <v>33</v>
      </c>
      <c r="C17">
        <v>0</v>
      </c>
      <c r="D17">
        <v>278.14999999999998</v>
      </c>
      <c r="E17" t="s">
        <v>18</v>
      </c>
      <c r="F17">
        <v>37.53</v>
      </c>
      <c r="G17">
        <v>0.2767</v>
      </c>
      <c r="H17" s="4">
        <v>3.1949999999999998</v>
      </c>
      <c r="I17">
        <v>3.3320000000000002E-2</v>
      </c>
      <c r="J17" t="s">
        <v>19</v>
      </c>
      <c r="K17">
        <v>28.39</v>
      </c>
      <c r="L17">
        <v>0.5</v>
      </c>
      <c r="O17" s="2" cm="1">
        <f t="array" ref="O17">_xlfn.IFS(D17=272.15, ABS(H17-$S$2)/$S$2, D17=278.15, ABS(H17-$S$3)/$S$3, D17=293.15, ABS(H17-$S$4)/$S$4, D17=298.15, ABS(H17-$S$5)/$S$5)</f>
        <v>1.9366365695689548E-2</v>
      </c>
    </row>
    <row r="18" spans="1:15" x14ac:dyDescent="0.2">
      <c r="A18" t="s">
        <v>14</v>
      </c>
      <c r="B18" t="s">
        <v>34</v>
      </c>
      <c r="C18">
        <v>0</v>
      </c>
      <c r="D18">
        <v>278.14999999999998</v>
      </c>
      <c r="E18" t="s">
        <v>18</v>
      </c>
      <c r="F18">
        <v>37.51</v>
      </c>
      <c r="G18">
        <v>0.27489999999999998</v>
      </c>
      <c r="H18" s="4">
        <v>3.1970000000000001</v>
      </c>
      <c r="I18">
        <v>3.3140000000000003E-2</v>
      </c>
      <c r="J18" t="s">
        <v>19</v>
      </c>
      <c r="K18">
        <v>28.39</v>
      </c>
      <c r="L18">
        <v>0.5</v>
      </c>
      <c r="O18" s="2" cm="1">
        <f t="array" ref="O18">_xlfn.IFS(D18=272.15, ABS(H18-$S$2)/$S$2, D18=278.15, ABS(H18-$S$3)/$S$3, D18=293.15, ABS(H18-$S$4)/$S$4, D18=298.15, ABS(H18-$S$5)/$S$5)</f>
        <v>2.0004466707079723E-2</v>
      </c>
    </row>
    <row r="19" spans="1:15" x14ac:dyDescent="0.2">
      <c r="A19" t="s">
        <v>14</v>
      </c>
      <c r="B19" t="s">
        <v>35</v>
      </c>
      <c r="C19">
        <v>0</v>
      </c>
      <c r="D19">
        <v>278.14999999999998</v>
      </c>
      <c r="E19" t="s">
        <v>18</v>
      </c>
      <c r="F19">
        <v>37.5</v>
      </c>
      <c r="G19">
        <v>0.2717</v>
      </c>
      <c r="H19" s="4">
        <v>3.198</v>
      </c>
      <c r="I19">
        <v>3.2770000000000001E-2</v>
      </c>
      <c r="J19" t="s">
        <v>19</v>
      </c>
      <c r="K19">
        <v>28.39</v>
      </c>
      <c r="L19">
        <v>0.5</v>
      </c>
      <c r="O19" s="2" cm="1">
        <f t="array" ref="O19">_xlfn.IFS(D19=272.15, ABS(H19-$S$2)/$S$2, D19=278.15, ABS(H19-$S$3)/$S$3, D19=293.15, ABS(H19-$S$4)/$S$4, D19=298.15, ABS(H19-$S$5)/$S$5)</f>
        <v>2.0323517212774738E-2</v>
      </c>
    </row>
    <row r="20" spans="1:15" x14ac:dyDescent="0.2">
      <c r="A20" t="s">
        <v>14</v>
      </c>
      <c r="B20" t="s">
        <v>36</v>
      </c>
      <c r="C20">
        <v>0</v>
      </c>
      <c r="D20">
        <v>278.14999999999998</v>
      </c>
      <c r="E20" t="s">
        <v>18</v>
      </c>
      <c r="F20">
        <v>37.53</v>
      </c>
      <c r="G20">
        <v>0.2762</v>
      </c>
      <c r="H20" s="4">
        <v>3.1949999999999998</v>
      </c>
      <c r="I20">
        <v>3.3259999999999998E-2</v>
      </c>
      <c r="J20" t="s">
        <v>19</v>
      </c>
      <c r="K20">
        <v>28.39</v>
      </c>
      <c r="L20">
        <v>0.5</v>
      </c>
      <c r="O20" s="2" cm="1">
        <f t="array" ref="O20">_xlfn.IFS(D20=272.15, ABS(H20-$S$2)/$S$2, D20=278.15, ABS(H20-$S$3)/$S$3, D20=293.15, ABS(H20-$S$4)/$S$4, D20=298.15, ABS(H20-$S$5)/$S$5)</f>
        <v>1.9366365695689548E-2</v>
      </c>
    </row>
    <row r="21" spans="1:15" x14ac:dyDescent="0.2">
      <c r="A21" t="s">
        <v>14</v>
      </c>
      <c r="B21" t="s">
        <v>37</v>
      </c>
      <c r="C21">
        <v>0</v>
      </c>
      <c r="D21">
        <v>272.14999999999998</v>
      </c>
      <c r="E21" t="s">
        <v>18</v>
      </c>
      <c r="F21">
        <v>44.25</v>
      </c>
      <c r="G21">
        <v>0.24329999999999999</v>
      </c>
      <c r="H21" s="4">
        <v>2.71</v>
      </c>
      <c r="I21">
        <v>2.1069999999999998E-2</v>
      </c>
      <c r="J21" t="s">
        <v>19</v>
      </c>
      <c r="K21">
        <v>28.39</v>
      </c>
      <c r="L21">
        <v>0.5</v>
      </c>
      <c r="O21" s="2" cm="1">
        <f t="array" ref="O21">_xlfn.IFS(D21=272.15, ABS(H21-$S$2)/$S$2, D21=278.15, ABS(H21-$S$3)/$S$3, D21=293.15, ABS(H21-$S$4)/$S$4, D21=298.15, ABS(H21-$S$5)/$S$5)</f>
        <v>4.0755835494628093E-3</v>
      </c>
    </row>
    <row r="22" spans="1:15" x14ac:dyDescent="0.2">
      <c r="A22" t="s">
        <v>14</v>
      </c>
      <c r="B22" t="s">
        <v>38</v>
      </c>
      <c r="C22">
        <v>0</v>
      </c>
      <c r="D22">
        <v>272.14999999999998</v>
      </c>
      <c r="E22" t="s">
        <v>18</v>
      </c>
      <c r="F22">
        <v>44.27</v>
      </c>
      <c r="G22">
        <v>0.2424</v>
      </c>
      <c r="H22" s="4">
        <v>2.7090000000000001</v>
      </c>
      <c r="I22">
        <v>2.0979999999999999E-2</v>
      </c>
      <c r="J22" t="s">
        <v>19</v>
      </c>
      <c r="K22">
        <v>28.39</v>
      </c>
      <c r="L22">
        <v>0.5</v>
      </c>
      <c r="O22" s="2" cm="1">
        <f t="array" ref="O22">_xlfn.IFS(D22=272.15, ABS(H22-$S$2)/$S$2, D22=278.15, ABS(H22-$S$3)/$S$3, D22=293.15, ABS(H22-$S$4)/$S$4, D22=298.15, ABS(H22-$S$5)/$S$5)</f>
        <v>3.705075954057144E-3</v>
      </c>
    </row>
    <row r="23" spans="1:15" x14ac:dyDescent="0.2">
      <c r="A23" t="s">
        <v>14</v>
      </c>
      <c r="B23" t="s">
        <v>39</v>
      </c>
      <c r="C23">
        <v>0</v>
      </c>
      <c r="D23">
        <v>272.14999999999998</v>
      </c>
      <c r="E23" t="s">
        <v>18</v>
      </c>
      <c r="F23">
        <v>44.3</v>
      </c>
      <c r="G23">
        <v>0.24010000000000001</v>
      </c>
      <c r="H23" s="4">
        <v>2.7069999999999999</v>
      </c>
      <c r="I23">
        <v>2.0750000000000001E-2</v>
      </c>
      <c r="J23" t="s">
        <v>19</v>
      </c>
      <c r="K23">
        <v>28.39</v>
      </c>
      <c r="L23">
        <v>0.5</v>
      </c>
      <c r="O23" s="2" cm="1">
        <f t="array" ref="O23">_xlfn.IFS(D23=272.15, ABS(H23-$S$2)/$S$2, D23=278.15, ABS(H23-$S$3)/$S$3, D23=293.15, ABS(H23-$S$4)/$S$4, D23=298.15, ABS(H23-$S$5)/$S$5)</f>
        <v>2.9640607632456495E-3</v>
      </c>
    </row>
    <row r="24" spans="1:15" x14ac:dyDescent="0.2">
      <c r="A24" t="s">
        <v>14</v>
      </c>
      <c r="B24" t="s">
        <v>40</v>
      </c>
      <c r="C24">
        <v>0</v>
      </c>
      <c r="D24">
        <v>272.14999999999998</v>
      </c>
      <c r="E24" t="s">
        <v>18</v>
      </c>
      <c r="F24">
        <v>44.37</v>
      </c>
      <c r="G24">
        <v>0.23680000000000001</v>
      </c>
      <c r="H24" s="4">
        <v>2.7029999999999998</v>
      </c>
      <c r="I24">
        <v>2.0400000000000001E-2</v>
      </c>
      <c r="J24" t="s">
        <v>19</v>
      </c>
      <c r="K24">
        <v>28.39</v>
      </c>
      <c r="L24">
        <v>0.5</v>
      </c>
      <c r="O24" s="2" cm="1">
        <f t="array" ref="O24">_xlfn.IFS(D24=272.15, ABS(H24-$S$2)/$S$2, D24=278.15, ABS(H24-$S$3)/$S$3, D24=293.15, ABS(H24-$S$4)/$S$4, D24=298.15, ABS(H24-$S$5)/$S$5)</f>
        <v>1.4820303816228248E-3</v>
      </c>
    </row>
    <row r="25" spans="1:15" x14ac:dyDescent="0.2">
      <c r="A25" t="s">
        <v>14</v>
      </c>
      <c r="B25" t="s">
        <v>41</v>
      </c>
      <c r="C25">
        <v>0</v>
      </c>
      <c r="D25">
        <v>272.14999999999998</v>
      </c>
      <c r="E25" t="s">
        <v>18</v>
      </c>
      <c r="F25">
        <v>44.36</v>
      </c>
      <c r="G25">
        <v>0.2366</v>
      </c>
      <c r="H25" s="4">
        <v>2.7029999999999998</v>
      </c>
      <c r="I25">
        <v>2.0389999999999998E-2</v>
      </c>
      <c r="J25" t="s">
        <v>19</v>
      </c>
      <c r="K25">
        <v>28.39</v>
      </c>
      <c r="L25">
        <v>0.5</v>
      </c>
      <c r="O25" s="2" cm="1">
        <f t="array" ref="O25">_xlfn.IFS(D25=272.15, ABS(H25-$S$2)/$S$2, D25=278.15, ABS(H25-$S$3)/$S$3, D25=293.15, ABS(H25-$S$4)/$S$4, D25=298.15, ABS(H25-$S$5)/$S$5)</f>
        <v>1.4820303816228248E-3</v>
      </c>
    </row>
    <row r="26" spans="1:15" x14ac:dyDescent="0.2">
      <c r="A26" t="s">
        <v>14</v>
      </c>
      <c r="B26" t="s">
        <v>42</v>
      </c>
      <c r="C26">
        <v>0</v>
      </c>
      <c r="D26">
        <v>272.14999999999998</v>
      </c>
      <c r="E26" t="s">
        <v>18</v>
      </c>
      <c r="F26">
        <v>44.37</v>
      </c>
      <c r="G26">
        <v>0.23499999999999999</v>
      </c>
      <c r="H26" s="4">
        <v>2.7029999999999998</v>
      </c>
      <c r="I26">
        <v>2.0240000000000001E-2</v>
      </c>
      <c r="J26" t="s">
        <v>19</v>
      </c>
      <c r="K26">
        <v>28.39</v>
      </c>
      <c r="L26">
        <v>0.5</v>
      </c>
      <c r="O26" s="2" cm="1">
        <f t="array" ref="O26">_xlfn.IFS(D26=272.15, ABS(H26-$S$2)/$S$2, D26=278.15, ABS(H26-$S$3)/$S$3, D26=293.15, ABS(H26-$S$4)/$S$4, D26=298.15, ABS(H26-$S$5)/$S$5)</f>
        <v>1.4820303816228248E-3</v>
      </c>
    </row>
    <row r="27" spans="1:15" x14ac:dyDescent="0.2">
      <c r="A27" t="s">
        <v>14</v>
      </c>
      <c r="B27" t="s">
        <v>43</v>
      </c>
      <c r="C27">
        <v>0</v>
      </c>
      <c r="D27">
        <v>272.14999999999998</v>
      </c>
      <c r="E27" t="s">
        <v>18</v>
      </c>
      <c r="F27">
        <v>44.21</v>
      </c>
      <c r="G27">
        <v>0.18110000000000001</v>
      </c>
      <c r="H27" s="5">
        <v>2.7130000000000001</v>
      </c>
      <c r="I27">
        <v>1.5709999999999998E-2</v>
      </c>
      <c r="J27" t="s">
        <v>19</v>
      </c>
      <c r="K27">
        <v>28.39</v>
      </c>
      <c r="L27">
        <v>0.5</v>
      </c>
      <c r="O27" s="2" cm="1">
        <f t="array" ref="O27">_xlfn.IFS(D27=272.15, ABS(H27-$S$2)/$S$2, D27=278.15, ABS(H27-$S$3)/$S$3, D27=293.15, ABS(H27-$S$4)/$S$4, D27=298.15, ABS(H27-$S$5)/$S$5)</f>
        <v>5.1871063356799686E-3</v>
      </c>
    </row>
    <row r="28" spans="1:15" x14ac:dyDescent="0.2">
      <c r="A28" t="s">
        <v>14</v>
      </c>
      <c r="B28" t="s">
        <v>44</v>
      </c>
      <c r="C28">
        <v>0</v>
      </c>
      <c r="D28">
        <v>272.14999999999998</v>
      </c>
      <c r="E28" t="s">
        <v>18</v>
      </c>
      <c r="F28">
        <v>44.08</v>
      </c>
      <c r="G28">
        <v>0.17660000000000001</v>
      </c>
      <c r="H28" s="5">
        <v>2.7210000000000001</v>
      </c>
      <c r="I28">
        <v>1.541E-2</v>
      </c>
      <c r="J28" t="s">
        <v>19</v>
      </c>
      <c r="K28">
        <v>28.39</v>
      </c>
      <c r="L28">
        <v>0.5</v>
      </c>
      <c r="O28" s="2" cm="1">
        <f t="array" ref="O28">_xlfn.IFS(D28=272.15, ABS(H28-$S$2)/$S$2, D28=278.15, ABS(H28-$S$3)/$S$3, D28=293.15, ABS(H28-$S$4)/$S$4, D28=298.15, ABS(H28-$S$5)/$S$5)</f>
        <v>8.1511670989256185E-3</v>
      </c>
    </row>
    <row r="29" spans="1:15" x14ac:dyDescent="0.2">
      <c r="A29" t="s">
        <v>14</v>
      </c>
      <c r="B29" t="s">
        <v>45</v>
      </c>
      <c r="C29">
        <v>0</v>
      </c>
      <c r="D29">
        <v>272.14999999999998</v>
      </c>
      <c r="E29" t="s">
        <v>18</v>
      </c>
      <c r="F29">
        <v>43.97</v>
      </c>
      <c r="G29">
        <v>0.1764</v>
      </c>
      <c r="H29" s="5">
        <v>2.7269999999999999</v>
      </c>
      <c r="I29">
        <v>1.5469999999999999E-2</v>
      </c>
      <c r="J29" t="s">
        <v>19</v>
      </c>
      <c r="K29">
        <v>28.39</v>
      </c>
      <c r="L29">
        <v>0.5</v>
      </c>
      <c r="O29" s="2" cm="1">
        <f t="array" ref="O29">_xlfn.IFS(D29=272.15, ABS(H29-$S$2)/$S$2, D29=278.15, ABS(H29-$S$3)/$S$3, D29=293.15, ABS(H29-$S$4)/$S$4, D29=298.15, ABS(H29-$S$5)/$S$5)</f>
        <v>1.0374212671359772E-2</v>
      </c>
    </row>
    <row r="30" spans="1:15" x14ac:dyDescent="0.2">
      <c r="A30" t="s">
        <v>14</v>
      </c>
      <c r="B30" t="s">
        <v>46</v>
      </c>
      <c r="C30">
        <v>0</v>
      </c>
      <c r="D30">
        <v>272.14999999999998</v>
      </c>
      <c r="E30" t="s">
        <v>18</v>
      </c>
      <c r="F30">
        <v>43.74</v>
      </c>
      <c r="G30">
        <v>0.1754</v>
      </c>
      <c r="H30" s="5">
        <v>2.742</v>
      </c>
      <c r="I30">
        <v>1.555E-2</v>
      </c>
      <c r="J30" t="s">
        <v>19</v>
      </c>
      <c r="K30">
        <v>28.39</v>
      </c>
      <c r="L30">
        <v>0.5</v>
      </c>
      <c r="O30" s="2" cm="1">
        <f t="array" ref="O30">_xlfn.IFS(D30=272.15, ABS(H30-$S$2)/$S$2, D30=278.15, ABS(H30-$S$3)/$S$3, D30=293.15, ABS(H30-$S$4)/$S$4, D30=298.15, ABS(H30-$S$5)/$S$5)</f>
        <v>1.5931826602445406E-2</v>
      </c>
    </row>
    <row r="31" spans="1:15" x14ac:dyDescent="0.2">
      <c r="A31" t="s">
        <v>14</v>
      </c>
      <c r="B31" t="s">
        <v>47</v>
      </c>
      <c r="C31">
        <v>0</v>
      </c>
      <c r="D31">
        <v>272.14999999999998</v>
      </c>
      <c r="E31" t="s">
        <v>18</v>
      </c>
      <c r="F31">
        <v>43.72</v>
      </c>
      <c r="G31">
        <v>0.17630000000000001</v>
      </c>
      <c r="H31" s="5">
        <v>2.7429999999999999</v>
      </c>
      <c r="I31">
        <v>1.5640000000000001E-2</v>
      </c>
      <c r="J31" t="s">
        <v>19</v>
      </c>
      <c r="K31">
        <v>28.39</v>
      </c>
      <c r="L31">
        <v>0.5</v>
      </c>
      <c r="O31" s="2" cm="1">
        <f t="array" ref="O31">_xlfn.IFS(D31=272.15, ABS(H31-$S$2)/$S$2, D31=278.15, ABS(H31-$S$3)/$S$3, D31=293.15, ABS(H31-$S$4)/$S$4, D31=298.15, ABS(H31-$S$5)/$S$5)</f>
        <v>1.6302334197851071E-2</v>
      </c>
    </row>
    <row r="32" spans="1:15" x14ac:dyDescent="0.2">
      <c r="A32" t="s">
        <v>14</v>
      </c>
      <c r="B32" t="s">
        <v>48</v>
      </c>
      <c r="C32">
        <v>0</v>
      </c>
      <c r="D32">
        <v>272.14999999999998</v>
      </c>
      <c r="E32" t="s">
        <v>18</v>
      </c>
      <c r="F32">
        <v>43.7</v>
      </c>
      <c r="G32">
        <v>0.1777</v>
      </c>
      <c r="H32" s="5">
        <v>2.7440000000000002</v>
      </c>
      <c r="I32">
        <v>1.5779999999999999E-2</v>
      </c>
      <c r="J32" t="s">
        <v>19</v>
      </c>
      <c r="K32">
        <v>28.39</v>
      </c>
      <c r="L32">
        <v>0.5</v>
      </c>
      <c r="O32" s="2" cm="1">
        <f t="array" ref="O32">_xlfn.IFS(D32=272.15, ABS(H32-$S$2)/$S$2, D32=278.15, ABS(H32-$S$3)/$S$3, D32=293.15, ABS(H32-$S$4)/$S$4, D32=298.15, ABS(H32-$S$5)/$S$5)</f>
        <v>1.6672841793256902E-2</v>
      </c>
    </row>
    <row r="33" spans="1:15" x14ac:dyDescent="0.2">
      <c r="A33" t="s">
        <v>14</v>
      </c>
      <c r="B33" t="s">
        <v>49</v>
      </c>
      <c r="C33">
        <v>0</v>
      </c>
      <c r="D33">
        <v>278.14999999999998</v>
      </c>
      <c r="E33" t="s">
        <v>18</v>
      </c>
      <c r="F33">
        <v>37.21</v>
      </c>
      <c r="G33">
        <v>0.2185</v>
      </c>
      <c r="H33" s="5">
        <v>3.2229999999999999</v>
      </c>
      <c r="I33">
        <v>2.6759999999999999E-2</v>
      </c>
      <c r="J33" t="s">
        <v>19</v>
      </c>
      <c r="K33">
        <v>28.39</v>
      </c>
      <c r="L33">
        <v>0.5</v>
      </c>
      <c r="O33" s="2" cm="1">
        <f t="array" ref="O33">_xlfn.IFS(D33=272.15, ABS(H33-$S$2)/$S$2, D33=278.15, ABS(H33-$S$3)/$S$3, D33=293.15, ABS(H33-$S$4)/$S$4, D33=298.15, ABS(H33-$S$5)/$S$5)</f>
        <v>2.8299779855150999E-2</v>
      </c>
    </row>
    <row r="34" spans="1:15" x14ac:dyDescent="0.2">
      <c r="A34" t="s">
        <v>14</v>
      </c>
      <c r="B34" t="s">
        <v>50</v>
      </c>
      <c r="C34">
        <v>0</v>
      </c>
      <c r="D34">
        <v>278.14999999999998</v>
      </c>
      <c r="E34" t="s">
        <v>18</v>
      </c>
      <c r="F34">
        <v>37.19</v>
      </c>
      <c r="G34">
        <v>0.21929999999999999</v>
      </c>
      <c r="H34" s="5">
        <v>3.2250000000000001</v>
      </c>
      <c r="I34">
        <v>2.6890000000000001E-2</v>
      </c>
      <c r="J34" t="s">
        <v>19</v>
      </c>
      <c r="K34">
        <v>28.39</v>
      </c>
      <c r="L34">
        <v>0.5</v>
      </c>
      <c r="O34" s="2" cm="1">
        <f t="array" ref="O34">_xlfn.IFS(D34=272.15, ABS(H34-$S$2)/$S$2, D34=278.15, ABS(H34-$S$3)/$S$3, D34=293.15, ABS(H34-$S$4)/$S$4, D34=298.15, ABS(H34-$S$5)/$S$5)</f>
        <v>2.8937880866541175E-2</v>
      </c>
    </row>
    <row r="35" spans="1:15" x14ac:dyDescent="0.2">
      <c r="A35" t="s">
        <v>14</v>
      </c>
      <c r="B35" t="s">
        <v>51</v>
      </c>
      <c r="C35">
        <v>0</v>
      </c>
      <c r="D35">
        <v>278.14999999999998</v>
      </c>
      <c r="E35" t="s">
        <v>18</v>
      </c>
      <c r="F35">
        <v>37.18</v>
      </c>
      <c r="G35">
        <v>0.22</v>
      </c>
      <c r="H35" s="5">
        <v>3.2250000000000001</v>
      </c>
      <c r="I35">
        <v>2.699E-2</v>
      </c>
      <c r="J35" t="s">
        <v>19</v>
      </c>
      <c r="K35">
        <v>28.39</v>
      </c>
      <c r="L35">
        <v>0.5</v>
      </c>
      <c r="O35" s="2" cm="1">
        <f t="array" ref="O35">_xlfn.IFS(D35=272.15, ABS(H35-$S$2)/$S$2, D35=278.15, ABS(H35-$S$3)/$S$3, D35=293.15, ABS(H35-$S$4)/$S$4, D35=298.15, ABS(H35-$S$5)/$S$5)</f>
        <v>2.8937880866541175E-2</v>
      </c>
    </row>
    <row r="36" spans="1:15" x14ac:dyDescent="0.2">
      <c r="A36" t="s">
        <v>14</v>
      </c>
      <c r="B36" t="s">
        <v>52</v>
      </c>
      <c r="C36">
        <v>0</v>
      </c>
      <c r="D36">
        <v>278.14999999999998</v>
      </c>
      <c r="E36" t="s">
        <v>18</v>
      </c>
      <c r="F36">
        <v>37.15</v>
      </c>
      <c r="G36">
        <v>0.22500000000000001</v>
      </c>
      <c r="H36" s="5">
        <v>3.2280000000000002</v>
      </c>
      <c r="I36">
        <v>2.7650000000000001E-2</v>
      </c>
      <c r="J36" t="s">
        <v>19</v>
      </c>
      <c r="K36">
        <v>28.39</v>
      </c>
      <c r="L36">
        <v>0.5</v>
      </c>
      <c r="O36" s="2" cm="1">
        <f t="array" ref="O36">_xlfn.IFS(D36=272.15, ABS(H36-$S$2)/$S$2, D36=278.15, ABS(H36-$S$3)/$S$3, D36=293.15, ABS(H36-$S$4)/$S$4, D36=298.15, ABS(H36-$S$5)/$S$5)</f>
        <v>2.9895032383626365E-2</v>
      </c>
    </row>
    <row r="37" spans="1:15" x14ac:dyDescent="0.2">
      <c r="A37" t="s">
        <v>14</v>
      </c>
      <c r="B37" t="s">
        <v>53</v>
      </c>
      <c r="C37">
        <v>0</v>
      </c>
      <c r="D37">
        <v>278.14999999999998</v>
      </c>
      <c r="E37" t="s">
        <v>18</v>
      </c>
      <c r="F37">
        <v>37.15</v>
      </c>
      <c r="G37">
        <v>0.22359999999999999</v>
      </c>
      <c r="H37" s="5">
        <v>3.2280000000000002</v>
      </c>
      <c r="I37">
        <v>2.7480000000000001E-2</v>
      </c>
      <c r="J37" t="s">
        <v>19</v>
      </c>
      <c r="K37">
        <v>28.39</v>
      </c>
      <c r="L37">
        <v>0.5</v>
      </c>
      <c r="O37" s="2" cm="1">
        <f t="array" ref="O37">_xlfn.IFS(D37=272.15, ABS(H37-$S$2)/$S$2, D37=278.15, ABS(H37-$S$3)/$S$3, D37=293.15, ABS(H37-$S$4)/$S$4, D37=298.15, ABS(H37-$S$5)/$S$5)</f>
        <v>2.9895032383626365E-2</v>
      </c>
    </row>
    <row r="38" spans="1:15" x14ac:dyDescent="0.2">
      <c r="A38" t="s">
        <v>14</v>
      </c>
      <c r="B38" t="s">
        <v>54</v>
      </c>
      <c r="C38">
        <v>0</v>
      </c>
      <c r="D38">
        <v>278.14999999999998</v>
      </c>
      <c r="E38" t="s">
        <v>18</v>
      </c>
      <c r="F38">
        <v>37.15</v>
      </c>
      <c r="G38">
        <v>0.22289999999999999</v>
      </c>
      <c r="H38" s="5">
        <v>3.2280000000000002</v>
      </c>
      <c r="I38">
        <v>2.7390000000000001E-2</v>
      </c>
      <c r="J38" t="s">
        <v>19</v>
      </c>
      <c r="K38">
        <v>28.39</v>
      </c>
      <c r="L38">
        <v>0.5</v>
      </c>
      <c r="O38" s="2" cm="1">
        <f t="array" ref="O38">_xlfn.IFS(D38=272.15, ABS(H38-$S$2)/$S$2, D38=278.15, ABS(H38-$S$3)/$S$3, D38=293.15, ABS(H38-$S$4)/$S$4, D38=298.15, ABS(H38-$S$5)/$S$5)</f>
        <v>2.9895032383626365E-2</v>
      </c>
    </row>
    <row r="39" spans="1:15" x14ac:dyDescent="0.2">
      <c r="A39" t="s">
        <v>14</v>
      </c>
      <c r="B39" t="s">
        <v>55</v>
      </c>
      <c r="C39">
        <v>0</v>
      </c>
      <c r="D39">
        <v>293.14999999999998</v>
      </c>
      <c r="E39" t="s">
        <v>18</v>
      </c>
      <c r="F39">
        <v>25.99</v>
      </c>
      <c r="G39">
        <v>1.0609999999999999</v>
      </c>
      <c r="H39" s="5">
        <v>4.6139999999999999</v>
      </c>
      <c r="I39">
        <v>0.26640000000000003</v>
      </c>
      <c r="J39" t="s">
        <v>19</v>
      </c>
      <c r="K39">
        <v>28.39</v>
      </c>
      <c r="L39">
        <v>0.5</v>
      </c>
      <c r="O39" s="2" cm="1">
        <f t="array" ref="O39">_xlfn.IFS(D39=272.15, ABS(H39-$S$2)/$S$2, D39=278.15, ABS(H39-$S$3)/$S$3, D39=293.15, ABS(H39-$S$4)/$S$4, D39=298.15, ABS(H39-$S$5)/$S$5)</f>
        <v>4.1370438079761665E-2</v>
      </c>
    </row>
    <row r="40" spans="1:15" x14ac:dyDescent="0.2">
      <c r="A40" t="s">
        <v>14</v>
      </c>
      <c r="B40" t="s">
        <v>56</v>
      </c>
      <c r="C40">
        <v>0</v>
      </c>
      <c r="D40">
        <v>293.14999999999998</v>
      </c>
      <c r="E40" t="s">
        <v>18</v>
      </c>
      <c r="F40">
        <v>25.98</v>
      </c>
      <c r="G40">
        <v>1.0640000000000001</v>
      </c>
      <c r="H40" s="5">
        <v>4.6159999999999997</v>
      </c>
      <c r="I40">
        <v>0.26729999999999998</v>
      </c>
      <c r="J40" t="s">
        <v>19</v>
      </c>
      <c r="K40">
        <v>28.39</v>
      </c>
      <c r="L40">
        <v>0.5</v>
      </c>
      <c r="O40" s="2" cm="1">
        <f t="array" ref="O40">_xlfn.IFS(D40=272.15, ABS(H40-$S$2)/$S$2, D40=278.15, ABS(H40-$S$3)/$S$3, D40=293.15, ABS(H40-$S$4)/$S$4, D40=298.15, ABS(H40-$S$5)/$S$5)</f>
        <v>4.18218340217121E-2</v>
      </c>
    </row>
    <row r="41" spans="1:15" x14ac:dyDescent="0.2">
      <c r="A41" t="s">
        <v>14</v>
      </c>
      <c r="B41" t="s">
        <v>57</v>
      </c>
      <c r="C41">
        <v>0</v>
      </c>
      <c r="D41">
        <v>293.14999999999998</v>
      </c>
      <c r="E41" t="s">
        <v>18</v>
      </c>
      <c r="F41">
        <v>25.97</v>
      </c>
      <c r="G41">
        <v>1.0469999999999999</v>
      </c>
      <c r="H41" s="5">
        <v>4.6180000000000003</v>
      </c>
      <c r="I41">
        <v>0.26329999999999998</v>
      </c>
      <c r="J41" t="s">
        <v>19</v>
      </c>
      <c r="K41">
        <v>28.39</v>
      </c>
      <c r="L41">
        <v>0.5</v>
      </c>
      <c r="O41" s="2" cm="1">
        <f t="array" ref="O41">_xlfn.IFS(D41=272.15, ABS(H41-$S$2)/$S$2, D41=278.15, ABS(H41-$S$3)/$S$3, D41=293.15, ABS(H41-$S$4)/$S$4, D41=298.15, ABS(H41-$S$5)/$S$5)</f>
        <v>4.2273229963662735E-2</v>
      </c>
    </row>
    <row r="42" spans="1:15" x14ac:dyDescent="0.2">
      <c r="A42" t="s">
        <v>14</v>
      </c>
      <c r="B42" t="s">
        <v>58</v>
      </c>
      <c r="C42">
        <v>0</v>
      </c>
      <c r="D42">
        <v>293.14999999999998</v>
      </c>
      <c r="E42" t="s">
        <v>18</v>
      </c>
      <c r="F42">
        <v>25.98</v>
      </c>
      <c r="G42">
        <v>1.0169999999999999</v>
      </c>
      <c r="H42" s="5">
        <v>4.6159999999999997</v>
      </c>
      <c r="I42">
        <v>0.2555</v>
      </c>
      <c r="J42" t="s">
        <v>19</v>
      </c>
      <c r="K42">
        <v>28.39</v>
      </c>
      <c r="L42">
        <v>0.5</v>
      </c>
      <c r="O42" s="2" cm="1">
        <f t="array" ref="O42">_xlfn.IFS(D42=272.15, ABS(H42-$S$2)/$S$2, D42=278.15, ABS(H42-$S$3)/$S$3, D42=293.15, ABS(H42-$S$4)/$S$4, D42=298.15, ABS(H42-$S$5)/$S$5)</f>
        <v>4.18218340217121E-2</v>
      </c>
    </row>
    <row r="43" spans="1:15" x14ac:dyDescent="0.2">
      <c r="A43" t="s">
        <v>14</v>
      </c>
      <c r="B43" t="s">
        <v>59</v>
      </c>
      <c r="C43">
        <v>0</v>
      </c>
      <c r="D43">
        <v>293.14999999999998</v>
      </c>
      <c r="E43" t="s">
        <v>18</v>
      </c>
      <c r="F43">
        <v>25.98</v>
      </c>
      <c r="G43">
        <v>1.0249999999999999</v>
      </c>
      <c r="H43" s="5">
        <v>4.6159999999999997</v>
      </c>
      <c r="I43">
        <v>0.25750000000000001</v>
      </c>
      <c r="J43" t="s">
        <v>19</v>
      </c>
      <c r="K43">
        <v>28.39</v>
      </c>
      <c r="L43">
        <v>0.5</v>
      </c>
      <c r="O43" s="2" cm="1">
        <f t="array" ref="O43">_xlfn.IFS(D43=272.15, ABS(H43-$S$2)/$S$2, D43=278.15, ABS(H43-$S$3)/$S$3, D43=293.15, ABS(H43-$S$4)/$S$4, D43=298.15, ABS(H43-$S$5)/$S$5)</f>
        <v>4.18218340217121E-2</v>
      </c>
    </row>
    <row r="44" spans="1:15" x14ac:dyDescent="0.2">
      <c r="A44" t="s">
        <v>14</v>
      </c>
      <c r="B44" t="s">
        <v>60</v>
      </c>
      <c r="C44">
        <v>0</v>
      </c>
      <c r="D44">
        <v>293.14999999999998</v>
      </c>
      <c r="E44" t="s">
        <v>18</v>
      </c>
      <c r="F44">
        <v>25.98</v>
      </c>
      <c r="G44">
        <v>1.002</v>
      </c>
      <c r="H44" s="5">
        <v>4.6159999999999997</v>
      </c>
      <c r="I44">
        <v>0.25180000000000002</v>
      </c>
      <c r="J44" t="s">
        <v>19</v>
      </c>
      <c r="K44">
        <v>28.39</v>
      </c>
      <c r="L44">
        <v>0.5</v>
      </c>
      <c r="O44" s="2" cm="1">
        <f t="array" ref="O44">_xlfn.IFS(D44=272.15, ABS(H44-$S$2)/$S$2, D44=278.15, ABS(H44-$S$3)/$S$3, D44=293.15, ABS(H44-$S$4)/$S$4, D44=298.15, ABS(H44-$S$5)/$S$5)</f>
        <v>4.18218340217121E-2</v>
      </c>
    </row>
    <row r="45" spans="1:15" x14ac:dyDescent="0.2">
      <c r="A45" t="s">
        <v>14</v>
      </c>
      <c r="B45" t="s">
        <v>61</v>
      </c>
      <c r="C45">
        <v>0</v>
      </c>
      <c r="D45">
        <v>298.14999999999998</v>
      </c>
      <c r="E45" t="s">
        <v>18</v>
      </c>
      <c r="F45">
        <v>23.6</v>
      </c>
      <c r="G45">
        <v>0.61050000000000004</v>
      </c>
      <c r="H45" s="5">
        <v>5.0810000000000004</v>
      </c>
      <c r="I45">
        <v>0.18590000000000001</v>
      </c>
      <c r="J45" t="s">
        <v>19</v>
      </c>
      <c r="K45">
        <v>28.39</v>
      </c>
      <c r="L45">
        <v>0.5</v>
      </c>
      <c r="O45" s="2" cm="1">
        <f t="array" ref="O45">_xlfn.IFS(D45=272.15, ABS(H45-$S$2)/$S$2, D45=278.15, ABS(H45-$S$3)/$S$3, D45=293.15, ABS(H45-$S$4)/$S$4, D45=298.15, ABS(H45-$S$5)/$S$5)</f>
        <v>4.2534419434926245E-2</v>
      </c>
    </row>
    <row r="46" spans="1:15" x14ac:dyDescent="0.2">
      <c r="A46" t="s">
        <v>14</v>
      </c>
      <c r="B46" t="s">
        <v>62</v>
      </c>
      <c r="C46">
        <v>0</v>
      </c>
      <c r="D46">
        <v>298.14999999999998</v>
      </c>
      <c r="E46" t="s">
        <v>18</v>
      </c>
      <c r="F46">
        <v>23.6</v>
      </c>
      <c r="G46">
        <v>0.62649999999999995</v>
      </c>
      <c r="H46" s="5">
        <v>5.0810000000000004</v>
      </c>
      <c r="I46">
        <v>0.1908</v>
      </c>
      <c r="J46" t="s">
        <v>19</v>
      </c>
      <c r="K46">
        <v>28.39</v>
      </c>
      <c r="L46">
        <v>0.5</v>
      </c>
      <c r="O46" s="2" cm="1">
        <f t="array" ref="O46">_xlfn.IFS(D46=272.15, ABS(H46-$S$2)/$S$2, D46=278.15, ABS(H46-$S$3)/$S$3, D46=293.15, ABS(H46-$S$4)/$S$4, D46=298.15, ABS(H46-$S$5)/$S$5)</f>
        <v>4.2534419434926245E-2</v>
      </c>
    </row>
    <row r="47" spans="1:15" x14ac:dyDescent="0.2">
      <c r="A47" t="s">
        <v>14</v>
      </c>
      <c r="B47" t="s">
        <v>63</v>
      </c>
      <c r="C47">
        <v>0</v>
      </c>
      <c r="D47">
        <v>298.14999999999998</v>
      </c>
      <c r="E47" t="s">
        <v>18</v>
      </c>
      <c r="F47">
        <v>23.61</v>
      </c>
      <c r="G47">
        <v>0.64259999999999995</v>
      </c>
      <c r="H47" s="5">
        <v>5.0789999999999997</v>
      </c>
      <c r="I47">
        <v>0.19550000000000001</v>
      </c>
      <c r="J47" t="s">
        <v>19</v>
      </c>
      <c r="K47">
        <v>28.39</v>
      </c>
      <c r="L47">
        <v>0.5</v>
      </c>
      <c r="O47" s="2" cm="1">
        <f t="array" ref="O47">_xlfn.IFS(D47=272.15, ABS(H47-$S$2)/$S$2, D47=278.15, ABS(H47-$S$3)/$S$3, D47=293.15, ABS(H47-$S$4)/$S$4, D47=298.15, ABS(H47-$S$5)/$S$5)</f>
        <v>4.2124053593778722E-2</v>
      </c>
    </row>
    <row r="48" spans="1:15" x14ac:dyDescent="0.2">
      <c r="A48" t="s">
        <v>14</v>
      </c>
      <c r="B48" t="s">
        <v>64</v>
      </c>
      <c r="C48">
        <v>0</v>
      </c>
      <c r="D48">
        <v>298.14999999999998</v>
      </c>
      <c r="E48" t="s">
        <v>18</v>
      </c>
      <c r="F48">
        <v>45.32</v>
      </c>
      <c r="G48">
        <v>3.3439999999999999</v>
      </c>
      <c r="H48" s="5">
        <v>2.6459999999999999</v>
      </c>
      <c r="I48">
        <v>0.27610000000000001</v>
      </c>
      <c r="J48" t="s">
        <v>19</v>
      </c>
      <c r="K48">
        <v>28.39</v>
      </c>
      <c r="L48">
        <v>0.5</v>
      </c>
      <c r="O48" s="2" cm="1">
        <f t="array" ref="O48">_xlfn.IFS(D48=272.15, ABS(H48-$S$2)/$S$2, D48=278.15, ABS(H48-$S$3)/$S$3, D48=293.15, ABS(H48-$S$4)/$S$4, D48=298.15, ABS(H48-$S$5)/$S$5)</f>
        <v>0.45708599216201251</v>
      </c>
    </row>
    <row r="49" spans="1:15" x14ac:dyDescent="0.2">
      <c r="A49" t="s">
        <v>14</v>
      </c>
      <c r="B49" t="s">
        <v>65</v>
      </c>
      <c r="C49">
        <v>0</v>
      </c>
      <c r="D49">
        <v>298.14999999999998</v>
      </c>
      <c r="E49" t="s">
        <v>18</v>
      </c>
      <c r="F49">
        <v>47.83</v>
      </c>
      <c r="G49">
        <v>3.4009999999999998</v>
      </c>
      <c r="H49" s="5">
        <v>2.5070000000000001</v>
      </c>
      <c r="I49">
        <v>0.25209999999999999</v>
      </c>
      <c r="J49" t="s">
        <v>19</v>
      </c>
      <c r="K49">
        <v>28.39</v>
      </c>
      <c r="L49">
        <v>0.5</v>
      </c>
      <c r="O49" s="2" cm="1">
        <f t="array" ref="O49">_xlfn.IFS(D49=272.15, ABS(H49-$S$2)/$S$2, D49=278.15, ABS(H49-$S$3)/$S$3, D49=293.15, ABS(H49-$S$4)/$S$4, D49=298.15, ABS(H49-$S$5)/$S$5)</f>
        <v>0.48560641812175553</v>
      </c>
    </row>
    <row r="50" spans="1:15" x14ac:dyDescent="0.2">
      <c r="A50" t="s">
        <v>14</v>
      </c>
      <c r="B50" t="s">
        <v>66</v>
      </c>
      <c r="C50">
        <v>0</v>
      </c>
      <c r="D50">
        <v>298.14999999999998</v>
      </c>
      <c r="E50" t="s">
        <v>18</v>
      </c>
      <c r="F50">
        <v>46.64</v>
      </c>
      <c r="G50">
        <v>3.34</v>
      </c>
      <c r="H50" s="5">
        <v>2.5710000000000002</v>
      </c>
      <c r="I50">
        <v>0.26040000000000002</v>
      </c>
      <c r="J50" t="s">
        <v>19</v>
      </c>
      <c r="K50">
        <v>28.39</v>
      </c>
      <c r="L50">
        <v>0.5</v>
      </c>
      <c r="O50" s="2" cm="1">
        <f t="array" ref="O50">_xlfn.IFS(D50=272.15, ABS(H50-$S$2)/$S$2, D50=278.15, ABS(H50-$S$3)/$S$3, D50=293.15, ABS(H50-$S$4)/$S$4, D50=298.15, ABS(H50-$S$5)/$S$5)</f>
        <v>0.47247471120503931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zAnalysis20260923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Diaz, Zachary (US 322A-Affiliate)</cp:lastModifiedBy>
  <dcterms:created xsi:type="dcterms:W3CDTF">2026-09-24T22:55:42Z</dcterms:created>
  <dcterms:modified xsi:type="dcterms:W3CDTF">2026-10-15T22:14:18Z</dcterms:modified>
</cp:coreProperties>
</file>